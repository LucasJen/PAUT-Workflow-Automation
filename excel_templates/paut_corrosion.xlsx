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MistrasFHR-PB2\Desktop\Coding\PAUT-Workflow-Automation\excel_templates\"/>
    </mc:Choice>
  </mc:AlternateContent>
  <xr:revisionPtr revIDLastSave="0" documentId="13_ncr:1_{793364CC-46D2-4190-8388-ED0AEAD4580F}" xr6:coauthVersionLast="47" xr6:coauthVersionMax="47" xr10:uidLastSave="{00000000-0000-0000-0000-000000000000}"/>
  <bookViews>
    <workbookView xWindow="-120" yWindow="-120" windowWidth="29040" windowHeight="15720" xr2:uid="{00000000-000D-0000-FFFF-FFFF00000000}"/>
  </bookViews>
  <sheets>
    <sheet name="Summary" sheetId="3" r:id="rId1"/>
    <sheet name="Setup Information" sheetId="13" r:id="rId2"/>
    <sheet name="Horizontal Drawing" sheetId="14" r:id="rId3"/>
    <sheet name="Vertical Drawing" sheetId="18" r:id="rId4"/>
    <sheet name="Thickness Table" sheetId="16" r:id="rId5"/>
    <sheet name="Images" sheetId="17" r:id="rId6"/>
    <sheet name="Formulas" sheetId="10" r:id="rId7"/>
  </sheets>
  <definedNames>
    <definedName name="_xlnm.Print_Titles" localSheetId="4">'Thickness Table'!$1:$5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4" l="1"/>
  <c r="N2" i="18"/>
  <c r="B5" i="13" l="1"/>
  <c r="AJ5" i="3"/>
  <c r="F19" i="16"/>
  <c r="E19" i="16"/>
  <c r="G19" i="16"/>
  <c r="E2" i="16"/>
</calcChain>
</file>

<file path=xl/sharedStrings.xml><?xml version="1.0" encoding="utf-8"?>
<sst xmlns="http://schemas.openxmlformats.org/spreadsheetml/2006/main" count="55" uniqueCount="52">
  <si>
    <t>Client Company:</t>
  </si>
  <si>
    <t>Test Date:</t>
  </si>
  <si>
    <t>Method</t>
  </si>
  <si>
    <t>Description</t>
  </si>
  <si>
    <t>AUT</t>
  </si>
  <si>
    <t>TOFD</t>
  </si>
  <si>
    <t>FMC / TFM</t>
  </si>
  <si>
    <t>UT Shear Wave</t>
  </si>
  <si>
    <t>Manual UT</t>
  </si>
  <si>
    <t>Setup Details</t>
  </si>
  <si>
    <t>Client Work Order:</t>
  </si>
  <si>
    <t>Phased Array Ultrasonic Examinations on Selected Areas On</t>
  </si>
  <si>
    <t>Unit / Equipment:</t>
  </si>
  <si>
    <t>Procedure:</t>
  </si>
  <si>
    <t>to</t>
  </si>
  <si>
    <t>Thickness Range:</t>
  </si>
  <si>
    <t>Calibration Temperature:</t>
  </si>
  <si>
    <t>Inspection Temperature:</t>
  </si>
  <si>
    <t>Inspection Material:</t>
  </si>
  <si>
    <t>Location:</t>
  </si>
  <si>
    <t>Probe Model / 
Serial Number:</t>
  </si>
  <si>
    <t>Examination Scope</t>
  </si>
  <si>
    <t>Summary of Results</t>
  </si>
  <si>
    <t>Notes</t>
  </si>
  <si>
    <t>Drawing</t>
  </si>
  <si>
    <t>Results</t>
  </si>
  <si>
    <t>Scan ID</t>
  </si>
  <si>
    <t>Axial Start / Stop</t>
  </si>
  <si>
    <t>Circ Start / Stop</t>
  </si>
  <si>
    <t>Low Readings</t>
  </si>
  <si>
    <t>Reviewed by:</t>
  </si>
  <si>
    <t>HydroFORM</t>
  </si>
  <si>
    <t>PCI</t>
  </si>
  <si>
    <t>Scope Model /
Serial Number:</t>
  </si>
  <si>
    <t>Method Information:</t>
  </si>
  <si>
    <t>Report Date:</t>
  </si>
  <si>
    <t>Calibration Block Material / Serial Number</t>
  </si>
  <si>
    <t>PAUT Angle Beam</t>
  </si>
  <si>
    <t>Phased Array (PAUT) Angle Beam - PAUT angle beam is an advanced ultrasonic technique that utilizes a transducer which contains an array of elements which are pulsed at desired time delays to steer and focus the sound beam using constructive wave interference for multi-angle imaging. Sectoral scan imaging displays a range of angles (e.g. 40°-70°) which allows for excellent flaw detection and characterizing when compared to conventional shear wave.</t>
  </si>
  <si>
    <t>HydroFORM - HydroFORM utilizes a multi-element array transducer with a water-column and consumable gasket to allow for a ultrasonic phased array immersion inspection with a low-flow water supply. Synchronized gates in the software and no need for contact wedges allows for better coupling, near surface resolution, and more precise measurements as compared to traditional contact UT scanning.</t>
  </si>
  <si>
    <t>UT-Shear Wave (UTSW) – UTSW is a conventional ultrasonic technique which transmits ultrasound through the examination material with a single element transducer using a wedge at a pre-determined angle and typically has a small physical footprint. Shear wave UT is commonly used with the purpose of weld-quality or crack examination.</t>
  </si>
  <si>
    <t>Automated Ultrasonic Testing (AUT) – AUT is a technique that utilizes an automated scanner, which compiles and encodes ultrasonic thickness measurements to create B &amp; C-Scan imaging. This is done with software on a cartesian X-Y coordinate grid system and is advantageous for large area scanning.</t>
  </si>
  <si>
    <t xml:space="preserve">Manual Ultrasonic Testing (MUT) – MUT is a conventional ultrasonic technique which utilizes a single element transducer to transmit ultrasound through the examination material at a 0˚ angle with a contact transducer by hand, most commonly with the purpose of thickness measurements or lamination detection. </t>
  </si>
  <si>
    <t>Time of Flight Diffraction (TOFD) – TOFD is an ultrasonic technique which utilizes the “pitch-catch” method, where one transducer transmits ultrasonic waves while the second transducer receives them. TOFD works on the principle of initially pulsing sound into and ‘flooding’ the area of interest (using a low angle of incidence and a small diameter transducer). Once the ultrasonic waves hit a defect, it will vibrate, and diffraction signals are generated from the defect tip(s). The receiving probe measures and plots the “Time of Flight” of all signals that reach it, including the diffracted signal from the flaw(s).</t>
  </si>
  <si>
    <t>Phase Coherence Imaging (PCI) – A technique which utilizes a method of compiling data called Full Matrix Capture (FMC) to improve resolution and contrast in ultrasonic testing imaging. PCI is designed for materials that present a low signal to noise ratio such as coarse-grained material like Stainless Steel and Inconel. It is based on evaluating the coherence between the signals detected by each separate element of a phased array multi-element transducer and color coding the image display by percentage of coherence (number of elements that receive the same signal in the same location) instead of by amplitude. This type of imaging helps to define low amplitude relevant signals in a “noisy” signal environment.</t>
  </si>
  <si>
    <t>Total Focusing Method (TFM) – The Total Focusing Method uses the Full Matrix Capture method of collecting phased array data where each element of the PAUT probe is singly activated one by one. The signal from each element is received by all other elements and stored as A-scans in order, from which a matrix of signal data is processed and constructed. This technique of sending and receiving sound waves allows for synthetic focusing at every point within the region of interest to enable enhanced resolution</t>
  </si>
  <si>
    <t>Total Pages:</t>
  </si>
  <si>
    <t>Rev</t>
  </si>
  <si>
    <t>Surface Preparation:</t>
  </si>
  <si>
    <t>Technician(s) /
Certification Level:</t>
  </si>
  <si>
    <t>Minimum Thickness
(inches)</t>
  </si>
  <si>
    <t>Average Thickness (inches)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</si>
</sst>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0" x14ac:knownFonts="1">
    <font>
      <sz val="11"/>
      <color theme="1"/>
      <name val="Calibri"/>
      <family val="2"/>
      <scheme val="minor"/>
    </font>
    <font>
      <sz val="11"/>
      <color theme="1"/>
      <name val="Times New Roman"/>
      <family val="1"/>
    </font>
    <font>
      <i/>
      <sz val="9"/>
      <color theme="1"/>
      <name val="Times New Roman"/>
      <family val="1"/>
    </font>
    <font>
      <sz val="9"/>
      <color theme="1"/>
      <name val="Times New Roman"/>
      <family val="1"/>
    </font>
    <font>
      <b/>
      <sz val="16"/>
      <color theme="1"/>
      <name val="Times New Roman"/>
      <family val="1"/>
    </font>
    <font>
      <i/>
      <sz val="11"/>
      <color theme="1"/>
      <name val="Times New Roman"/>
      <family val="1"/>
    </font>
    <font>
      <sz val="9"/>
      <color theme="2"/>
      <name val="Times New Roman"/>
      <family val="1"/>
    </font>
    <font>
      <b/>
      <sz val="12"/>
      <color theme="1"/>
      <name val="Times New Roman"/>
      <family val="1"/>
    </font>
    <font>
      <sz val="9"/>
      <name val="Times New Roman"/>
      <family val="1"/>
    </font>
    <font>
      <b/>
      <sz val="16"/>
      <name val="Times New Roman"/>
      <family val="1"/>
    </font>
    <font>
      <i/>
      <sz val="11"/>
      <name val="Times New Roman"/>
      <family val="1"/>
    </font>
    <font>
      <sz val="11"/>
      <name val="Calibri"/>
      <family val="2"/>
      <scheme val="minor"/>
    </font>
    <font>
      <sz val="10"/>
      <name val="Times New Roman"/>
      <family val="1"/>
    </font>
    <font>
      <sz val="8"/>
      <name val="Calibri"/>
      <family val="2"/>
      <scheme val="minor"/>
    </font>
    <font>
      <b/>
      <sz val="10"/>
      <name val="Times New Roman"/>
      <family val="1"/>
    </font>
    <font>
      <sz val="14"/>
      <color theme="1"/>
      <name val="Times New Roman"/>
      <family val="1"/>
    </font>
    <font>
      <i/>
      <sz val="12"/>
      <color theme="1"/>
      <name val="Times New Roman"/>
      <family val="1"/>
    </font>
    <font>
      <i/>
      <sz val="9"/>
      <color theme="2" tint="-9.9978637043366805E-2"/>
      <name val="Times New Roman"/>
      <family val="1"/>
    </font>
    <font>
      <sz val="1"/>
      <color theme="1"/>
      <name val="Aptos"/>
      <family val="2"/>
    </font>
    <font>
      <b/>
      <sz val="13"/>
      <color theme="1"/>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6">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thin">
        <color auto="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style="thin">
        <color auto="1"/>
      </top>
      <bottom style="double">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style="double">
        <color auto="1"/>
      </bottom>
      <diagonal/>
    </border>
    <border>
      <left/>
      <right style="thin">
        <color auto="1"/>
      </right>
      <top style="thin">
        <color auto="1"/>
      </top>
      <bottom style="double">
        <color auto="1"/>
      </bottom>
      <diagonal/>
    </border>
    <border>
      <left style="double">
        <color auto="1"/>
      </left>
      <right/>
      <top style="thin">
        <color auto="1"/>
      </top>
      <bottom style="double">
        <color auto="1"/>
      </bottom>
      <diagonal/>
    </border>
    <border>
      <left style="thin">
        <color auto="1"/>
      </left>
      <right style="double">
        <color auto="1"/>
      </right>
      <top style="double">
        <color auto="1"/>
      </top>
      <bottom/>
      <diagonal/>
    </border>
    <border>
      <left style="double">
        <color auto="1"/>
      </left>
      <right style="thin">
        <color auto="1"/>
      </right>
      <top/>
      <bottom/>
      <diagonal/>
    </border>
    <border>
      <left style="thin">
        <color auto="1"/>
      </left>
      <right style="thin">
        <color auto="1"/>
      </right>
      <top/>
      <bottom/>
      <diagonal/>
    </border>
    <border>
      <left style="thin">
        <color auto="1"/>
      </left>
      <right style="double">
        <color auto="1"/>
      </right>
      <top/>
      <bottom/>
      <diagonal/>
    </border>
    <border>
      <left/>
      <right/>
      <top style="double">
        <color auto="1"/>
      </top>
      <bottom style="double">
        <color auto="1"/>
      </bottom>
      <diagonal/>
    </border>
    <border>
      <left style="double">
        <color auto="1"/>
      </left>
      <right style="double">
        <color auto="1"/>
      </right>
      <top style="double">
        <color auto="1"/>
      </top>
      <bottom style="double">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double">
        <color auto="1"/>
      </right>
      <top style="thin">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s>
  <cellStyleXfs count="1">
    <xf numFmtId="0" fontId="0" fillId="0" borderId="0"/>
  </cellStyleXfs>
  <cellXfs count="184">
    <xf numFmtId="0" fontId="0" fillId="0" borderId="0" xfId="0"/>
    <xf numFmtId="0" fontId="1" fillId="0" borderId="0" xfId="0" applyFont="1"/>
    <xf numFmtId="0" fontId="3" fillId="0" borderId="0" xfId="0" applyFont="1"/>
    <xf numFmtId="0" fontId="6" fillId="0" borderId="0" xfId="0" applyFont="1" applyAlignment="1">
      <alignment vertical="center"/>
    </xf>
    <xf numFmtId="0" fontId="0" fillId="0" borderId="20" xfId="0" applyBorder="1"/>
    <xf numFmtId="0" fontId="0" fillId="0" borderId="21" xfId="0" applyBorder="1"/>
    <xf numFmtId="0" fontId="0" fillId="0" borderId="22" xfId="0" applyBorder="1"/>
    <xf numFmtId="0" fontId="0" fillId="0" borderId="23" xfId="0" applyBorder="1" applyAlignment="1">
      <alignment shrinkToFit="1"/>
    </xf>
    <xf numFmtId="0" fontId="0" fillId="0" borderId="24" xfId="0" applyBorder="1"/>
    <xf numFmtId="0" fontId="0" fillId="0" borderId="25" xfId="0" applyBorder="1" applyAlignment="1">
      <alignment shrinkToFit="1"/>
    </xf>
    <xf numFmtId="0" fontId="3" fillId="0" borderId="0" xfId="0" applyFont="1" applyAlignment="1">
      <alignment vertical="center"/>
    </xf>
    <xf numFmtId="0" fontId="14" fillId="0" borderId="0" xfId="0"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0" xfId="0" applyFont="1" applyAlignment="1" applyProtection="1">
      <alignment horizontal="left" vertical="center" wrapText="1" indent="1"/>
      <protection locked="0"/>
    </xf>
    <xf numFmtId="164" fontId="8" fillId="0" borderId="0" xfId="0" applyNumberFormat="1" applyFont="1" applyAlignment="1" applyProtection="1">
      <alignment horizontal="center" vertical="center" wrapText="1"/>
      <protection locked="0"/>
    </xf>
    <xf numFmtId="0" fontId="8" fillId="0" borderId="0" xfId="0" applyFont="1" applyProtection="1">
      <protection locked="0"/>
    </xf>
    <xf numFmtId="0" fontId="9" fillId="0" borderId="0" xfId="0" applyFont="1" applyAlignment="1" applyProtection="1">
      <alignment vertical="center" wrapText="1" readingOrder="2"/>
      <protection locked="0"/>
    </xf>
    <xf numFmtId="0" fontId="10" fillId="0" borderId="0" xfId="0" applyFont="1" applyAlignment="1" applyProtection="1">
      <alignment vertical="center"/>
      <protection locked="0"/>
    </xf>
    <xf numFmtId="0" fontId="11" fillId="0" borderId="0" xfId="0" applyFont="1" applyProtection="1">
      <protection locked="0"/>
    </xf>
    <xf numFmtId="0" fontId="12" fillId="0" borderId="0" xfId="0" applyFont="1" applyAlignment="1" applyProtection="1">
      <alignment vertical="center" wrapText="1"/>
      <protection locked="0"/>
    </xf>
    <xf numFmtId="0" fontId="8" fillId="0" borderId="0" xfId="0" applyFont="1" applyAlignment="1" applyProtection="1">
      <alignment vertical="center"/>
      <protection locked="0"/>
    </xf>
    <xf numFmtId="0" fontId="1" fillId="0" borderId="0" xfId="0" applyFont="1" applyAlignment="1">
      <alignment wrapText="1"/>
    </xf>
    <xf numFmtId="0" fontId="8" fillId="0" borderId="0" xfId="0" applyFont="1" applyAlignment="1" applyProtection="1">
      <alignment horizontal="left" vertical="center" wrapText="1"/>
      <protection locked="0"/>
    </xf>
    <xf numFmtId="0" fontId="3" fillId="2" borderId="40" xfId="0" applyFont="1" applyFill="1" applyBorder="1" applyAlignment="1" applyProtection="1">
      <alignment horizontal="center" vertical="center" wrapText="1"/>
      <protection locked="0"/>
    </xf>
    <xf numFmtId="0" fontId="18" fillId="0" borderId="0" xfId="0" applyFont="1"/>
    <xf numFmtId="0" fontId="0" fillId="0" borderId="4" xfId="0" applyBorder="1" applyProtection="1">
      <protection locked="0"/>
    </xf>
    <xf numFmtId="0" fontId="0" fillId="0" borderId="0" xfId="0" applyProtection="1">
      <protection locked="0"/>
    </xf>
    <xf numFmtId="0" fontId="0" fillId="0" borderId="5" xfId="0" applyBorder="1" applyProtection="1">
      <protection locked="0"/>
    </xf>
    <xf numFmtId="0" fontId="3" fillId="0" borderId="0" xfId="0" applyFont="1" applyAlignment="1">
      <alignment vertical="top" wrapText="1"/>
    </xf>
    <xf numFmtId="0" fontId="3" fillId="0" borderId="33" xfId="0" applyFont="1" applyBorder="1" applyAlignment="1">
      <alignment vertical="top" wrapText="1"/>
    </xf>
    <xf numFmtId="0" fontId="2" fillId="0" borderId="39" xfId="0" applyFont="1" applyBorder="1" applyAlignment="1">
      <alignment horizontal="left" vertical="center" wrapText="1" indent="1"/>
    </xf>
    <xf numFmtId="0" fontId="2" fillId="0" borderId="37" xfId="0" applyFont="1" applyBorder="1" applyAlignment="1">
      <alignment horizontal="left" vertical="center" wrapText="1" indent="1"/>
    </xf>
    <xf numFmtId="0" fontId="2" fillId="0" borderId="38" xfId="0" applyFont="1" applyBorder="1" applyAlignment="1">
      <alignment horizontal="left" vertical="center" wrapText="1" indent="1"/>
    </xf>
    <xf numFmtId="0" fontId="2" fillId="0" borderId="43" xfId="0" applyFont="1" applyBorder="1" applyAlignment="1">
      <alignment horizontal="left" vertical="center" wrapText="1" indent="1"/>
    </xf>
    <xf numFmtId="0" fontId="2" fillId="0" borderId="44" xfId="0" applyFont="1" applyBorder="1" applyAlignment="1">
      <alignment horizontal="left" vertical="center" wrapText="1" indent="1"/>
    </xf>
    <xf numFmtId="0" fontId="2" fillId="0" borderId="45" xfId="0" applyFont="1" applyBorder="1" applyAlignment="1">
      <alignment horizontal="left" vertical="center" wrapText="1" indent="1"/>
    </xf>
    <xf numFmtId="0" fontId="3" fillId="0" borderId="1" xfId="0" applyFont="1" applyBorder="1" applyAlignment="1" applyProtection="1">
      <alignment horizontal="left" vertical="top" wrapText="1" indent="1"/>
      <protection locked="0"/>
    </xf>
    <xf numFmtId="0" fontId="3" fillId="0" borderId="2" xfId="0" applyFont="1" applyBorder="1" applyAlignment="1" applyProtection="1">
      <alignment horizontal="left" vertical="top" wrapText="1" indent="1"/>
      <protection locked="0"/>
    </xf>
    <xf numFmtId="0" fontId="3" fillId="0" borderId="3" xfId="0" applyFont="1" applyBorder="1" applyAlignment="1" applyProtection="1">
      <alignment horizontal="left" vertical="top" wrapText="1" indent="1"/>
      <protection locked="0"/>
    </xf>
    <xf numFmtId="0" fontId="3" fillId="0" borderId="4" xfId="0" applyFont="1" applyBorder="1" applyAlignment="1" applyProtection="1">
      <alignment horizontal="left" vertical="top" wrapText="1" indent="1"/>
      <protection locked="0"/>
    </xf>
    <xf numFmtId="0" fontId="3" fillId="0" borderId="0" xfId="0" applyFont="1" applyAlignment="1" applyProtection="1">
      <alignment horizontal="left" vertical="top" wrapText="1" indent="1"/>
      <protection locked="0"/>
    </xf>
    <xf numFmtId="0" fontId="3" fillId="0" borderId="5" xfId="0" applyFont="1" applyBorder="1" applyAlignment="1" applyProtection="1">
      <alignment horizontal="left" vertical="top" wrapText="1" indent="1"/>
      <protection locked="0"/>
    </xf>
    <xf numFmtId="0" fontId="3" fillId="0" borderId="6" xfId="0" applyFont="1" applyBorder="1" applyAlignment="1" applyProtection="1">
      <alignment horizontal="left" vertical="top" wrapText="1" indent="1"/>
      <protection locked="0"/>
    </xf>
    <xf numFmtId="0" fontId="3" fillId="0" borderId="7" xfId="0" applyFont="1" applyBorder="1" applyAlignment="1" applyProtection="1">
      <alignment horizontal="left" vertical="top" wrapText="1" indent="1"/>
      <protection locked="0"/>
    </xf>
    <xf numFmtId="0" fontId="3" fillId="0" borderId="8" xfId="0" applyFont="1" applyBorder="1" applyAlignment="1" applyProtection="1">
      <alignment horizontal="left" vertical="top" wrapText="1" indent="1"/>
      <protection locked="0"/>
    </xf>
    <xf numFmtId="0" fontId="2" fillId="0" borderId="9" xfId="0" applyFont="1" applyBorder="1" applyAlignment="1">
      <alignment horizontal="left" vertical="center" wrapText="1" indent="1"/>
    </xf>
    <xf numFmtId="0" fontId="7" fillId="0" borderId="0" xfId="0" applyFont="1" applyAlignment="1">
      <alignment horizontal="left" wrapText="1"/>
    </xf>
    <xf numFmtId="14" fontId="3" fillId="2" borderId="44" xfId="0" applyNumberFormat="1" applyFont="1" applyFill="1" applyBorder="1" applyAlignment="1" applyProtection="1">
      <alignment horizontal="center" vertical="center" wrapText="1"/>
      <protection locked="0"/>
    </xf>
    <xf numFmtId="14" fontId="3" fillId="2" borderId="45" xfId="0" applyNumberFormat="1" applyFont="1" applyFill="1" applyBorder="1" applyAlignment="1" applyProtection="1">
      <alignment horizontal="center" vertical="center" wrapText="1"/>
      <protection locked="0"/>
    </xf>
    <xf numFmtId="0" fontId="3" fillId="2" borderId="37" xfId="0" applyFont="1" applyFill="1" applyBorder="1" applyAlignment="1" applyProtection="1">
      <alignment horizontal="center" vertical="center" wrapText="1"/>
      <protection locked="0"/>
    </xf>
    <xf numFmtId="0" fontId="3" fillId="2" borderId="40" xfId="0" applyFont="1" applyFill="1" applyBorder="1" applyAlignment="1" applyProtection="1">
      <alignment horizontal="center" vertical="center" wrapText="1"/>
      <protection locked="0"/>
    </xf>
    <xf numFmtId="0" fontId="3" fillId="2" borderId="38" xfId="0" applyFont="1" applyFill="1" applyBorder="1" applyAlignment="1" applyProtection="1">
      <alignment horizontal="center" vertical="center" wrapText="1"/>
      <protection locked="0"/>
    </xf>
    <xf numFmtId="0" fontId="3" fillId="2" borderId="39" xfId="0" applyFont="1" applyFill="1" applyBorder="1" applyAlignment="1" applyProtection="1">
      <alignment horizontal="center" vertical="center" wrapText="1"/>
      <protection locked="0"/>
    </xf>
    <xf numFmtId="0" fontId="3" fillId="3" borderId="17" xfId="0" applyFont="1" applyFill="1" applyBorder="1" applyAlignment="1">
      <alignment horizontal="center" vertical="center" wrapText="1"/>
    </xf>
    <xf numFmtId="0" fontId="15" fillId="0" borderId="1" xfId="0" applyFont="1" applyBorder="1" applyAlignment="1" applyProtection="1">
      <alignment horizontal="center" vertical="center" wrapText="1" readingOrder="1"/>
      <protection locked="0"/>
    </xf>
    <xf numFmtId="0" fontId="15" fillId="0" borderId="2" xfId="0" applyFont="1" applyBorder="1" applyAlignment="1" applyProtection="1">
      <alignment horizontal="center" vertical="center" wrapText="1" readingOrder="1"/>
      <protection locked="0"/>
    </xf>
    <xf numFmtId="0" fontId="15" fillId="0" borderId="3" xfId="0" applyFont="1" applyBorder="1" applyAlignment="1" applyProtection="1">
      <alignment horizontal="center" vertical="center" wrapText="1" readingOrder="1"/>
      <protection locked="0"/>
    </xf>
    <xf numFmtId="0" fontId="15" fillId="0" borderId="4" xfId="0" applyFont="1" applyBorder="1" applyAlignment="1" applyProtection="1">
      <alignment horizontal="center" vertical="center" wrapText="1" readingOrder="1"/>
      <protection locked="0"/>
    </xf>
    <xf numFmtId="0" fontId="15" fillId="0" borderId="0" xfId="0" applyFont="1" applyAlignment="1" applyProtection="1">
      <alignment horizontal="center" vertical="center" wrapText="1" readingOrder="1"/>
      <protection locked="0"/>
    </xf>
    <xf numFmtId="0" fontId="15" fillId="0" borderId="5" xfId="0" applyFont="1" applyBorder="1" applyAlignment="1" applyProtection="1">
      <alignment horizontal="center" vertical="center" wrapText="1" readingOrder="1"/>
      <protection locked="0"/>
    </xf>
    <xf numFmtId="0" fontId="15" fillId="0" borderId="6" xfId="0" applyFont="1" applyBorder="1" applyAlignment="1" applyProtection="1">
      <alignment horizontal="center" vertical="center" wrapText="1" readingOrder="1"/>
      <protection locked="0"/>
    </xf>
    <xf numFmtId="0" fontId="15" fillId="0" borderId="7" xfId="0" applyFont="1" applyBorder="1" applyAlignment="1" applyProtection="1">
      <alignment horizontal="center" vertical="center" wrapText="1" readingOrder="1"/>
      <protection locked="0"/>
    </xf>
    <xf numFmtId="0" fontId="15" fillId="0" borderId="8" xfId="0" applyFont="1" applyBorder="1" applyAlignment="1" applyProtection="1">
      <alignment horizontal="center" vertical="center" wrapText="1" readingOrder="1"/>
      <protection locked="0"/>
    </xf>
    <xf numFmtId="0" fontId="3" fillId="2" borderId="17" xfId="0" applyFont="1" applyFill="1" applyBorder="1" applyAlignment="1" applyProtection="1">
      <alignment horizontal="center" wrapText="1"/>
      <protection locked="0"/>
    </xf>
    <xf numFmtId="0" fontId="3" fillId="2" borderId="15" xfId="0" applyFont="1" applyFill="1" applyBorder="1" applyAlignment="1" applyProtection="1">
      <alignment horizontal="center" wrapText="1"/>
      <protection locked="0"/>
    </xf>
    <xf numFmtId="0" fontId="2" fillId="0" borderId="14" xfId="0" applyFont="1" applyBorder="1" applyAlignment="1">
      <alignment horizontal="left" vertical="center" wrapText="1" indent="1"/>
    </xf>
    <xf numFmtId="0" fontId="2" fillId="0" borderId="15" xfId="0" applyFont="1" applyBorder="1" applyAlignment="1">
      <alignment horizontal="left" vertical="center" wrapText="1" indent="1"/>
    </xf>
    <xf numFmtId="0" fontId="2" fillId="0" borderId="16" xfId="0" applyFont="1" applyBorder="1" applyAlignment="1">
      <alignment horizontal="left" vertical="center" wrapText="1" indent="1"/>
    </xf>
    <xf numFmtId="0" fontId="2" fillId="0" borderId="17" xfId="0" applyFont="1" applyBorder="1" applyAlignment="1">
      <alignment horizontal="left" vertical="center" wrapText="1" indent="1"/>
    </xf>
    <xf numFmtId="14" fontId="3" fillId="2" borderId="15" xfId="0" applyNumberFormat="1" applyFont="1" applyFill="1" applyBorder="1" applyAlignment="1" applyProtection="1">
      <alignment horizontal="center" vertical="center" wrapText="1"/>
      <protection locked="0"/>
    </xf>
    <xf numFmtId="14" fontId="3" fillId="2" borderId="41" xfId="0" applyNumberFormat="1" applyFont="1" applyFill="1" applyBorder="1" applyAlignment="1" applyProtection="1">
      <alignment horizontal="center" vertical="center" wrapText="1"/>
      <protection locked="0"/>
    </xf>
    <xf numFmtId="0" fontId="2" fillId="0" borderId="42" xfId="0" applyFont="1" applyBorder="1" applyAlignment="1">
      <alignment horizontal="left" wrapText="1" indent="1"/>
    </xf>
    <xf numFmtId="0" fontId="2" fillId="0" borderId="9" xfId="0" applyFont="1" applyBorder="1" applyAlignment="1">
      <alignment horizontal="left" wrapText="1" indent="1"/>
    </xf>
    <xf numFmtId="0" fontId="3" fillId="2" borderId="11" xfId="0" applyFont="1" applyFill="1" applyBorder="1" applyAlignment="1" applyProtection="1">
      <alignment horizontal="center" vertical="center" wrapText="1"/>
      <protection locked="0"/>
    </xf>
    <xf numFmtId="0" fontId="3" fillId="2" borderId="26" xfId="0" applyFont="1" applyFill="1" applyBorder="1" applyAlignment="1" applyProtection="1">
      <alignment horizontal="center" vertical="center" wrapText="1"/>
      <protection locked="0"/>
    </xf>
    <xf numFmtId="0" fontId="3" fillId="2" borderId="27" xfId="0" applyFont="1" applyFill="1" applyBorder="1" applyAlignment="1" applyProtection="1">
      <alignment horizontal="center" vertical="center" wrapText="1"/>
      <protection locked="0"/>
    </xf>
    <xf numFmtId="0" fontId="3" fillId="2" borderId="19" xfId="0" applyFont="1" applyFill="1" applyBorder="1" applyAlignment="1" applyProtection="1">
      <alignment horizontal="center" vertical="center" wrapText="1"/>
      <protection locked="0"/>
    </xf>
    <xf numFmtId="0" fontId="17" fillId="0" borderId="1" xfId="0" applyFont="1" applyBorder="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6"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3" fillId="2" borderId="17" xfId="0" applyFont="1" applyFill="1" applyBorder="1" applyAlignment="1" applyProtection="1">
      <alignment horizontal="center" vertical="center" wrapText="1"/>
      <protection locked="0"/>
    </xf>
    <xf numFmtId="0" fontId="3" fillId="2" borderId="18" xfId="0" applyFont="1" applyFill="1" applyBorder="1" applyAlignment="1" applyProtection="1">
      <alignment horizontal="center" vertical="center" wrapText="1"/>
      <protection locked="0"/>
    </xf>
    <xf numFmtId="0" fontId="2" fillId="0" borderId="17" xfId="0" applyFont="1" applyBorder="1" applyAlignment="1">
      <alignment horizontal="left" vertical="center" indent="1"/>
    </xf>
    <xf numFmtId="0" fontId="2" fillId="2" borderId="11" xfId="0" applyFont="1" applyFill="1" applyBorder="1" applyAlignment="1" applyProtection="1">
      <alignment horizontal="center" vertical="center" wrapText="1"/>
      <protection locked="0"/>
    </xf>
    <xf numFmtId="0" fontId="2" fillId="2" borderId="26" xfId="0" applyFont="1" applyFill="1" applyBorder="1" applyAlignment="1" applyProtection="1">
      <alignment horizontal="center" vertical="center" wrapText="1"/>
      <protection locked="0"/>
    </xf>
    <xf numFmtId="0" fontId="2" fillId="2" borderId="27" xfId="0" applyFont="1" applyFill="1" applyBorder="1" applyAlignment="1" applyProtection="1">
      <alignment horizontal="center" vertical="center" wrapText="1"/>
      <protection locked="0"/>
    </xf>
    <xf numFmtId="0" fontId="2" fillId="0" borderId="17" xfId="0" applyFont="1" applyBorder="1" applyAlignment="1">
      <alignment horizontal="center" vertical="center"/>
    </xf>
    <xf numFmtId="0" fontId="2" fillId="2" borderId="9" xfId="0" applyFont="1" applyFill="1" applyBorder="1" applyAlignment="1" applyProtection="1">
      <alignment horizontal="center" vertical="center" wrapText="1"/>
      <protection locked="0"/>
    </xf>
    <xf numFmtId="0" fontId="2" fillId="2" borderId="10" xfId="0" applyFont="1" applyFill="1" applyBorder="1" applyAlignment="1" applyProtection="1">
      <alignment horizontal="center" vertical="center" wrapText="1"/>
      <protection locked="0"/>
    </xf>
    <xf numFmtId="0" fontId="2" fillId="0" borderId="28" xfId="0" applyFont="1" applyBorder="1" applyAlignment="1">
      <alignment horizontal="left" vertical="center" wrapText="1" indent="1"/>
    </xf>
    <xf numFmtId="0" fontId="2" fillId="0" borderId="26" xfId="0" applyFont="1" applyBorder="1" applyAlignment="1">
      <alignment horizontal="left" vertical="center" wrapText="1" indent="1"/>
    </xf>
    <xf numFmtId="0" fontId="2" fillId="0" borderId="27" xfId="0" applyFont="1" applyBorder="1" applyAlignment="1">
      <alignment horizontal="left" vertical="center" wrapText="1" indent="1"/>
    </xf>
    <xf numFmtId="0" fontId="4" fillId="0" borderId="1" xfId="0" applyFont="1" applyBorder="1" applyAlignment="1">
      <alignment horizontal="center" vertical="center" wrapText="1" readingOrder="2"/>
    </xf>
    <xf numFmtId="0" fontId="4" fillId="0" borderId="2" xfId="0" applyFont="1" applyBorder="1" applyAlignment="1">
      <alignment horizontal="center" vertical="center" wrapText="1" readingOrder="2"/>
    </xf>
    <xf numFmtId="0" fontId="4" fillId="0" borderId="3" xfId="0" applyFont="1" applyBorder="1" applyAlignment="1">
      <alignment horizontal="center" vertical="center" wrapText="1" readingOrder="2"/>
    </xf>
    <xf numFmtId="0" fontId="4" fillId="0" borderId="4" xfId="0" applyFont="1" applyBorder="1" applyAlignment="1">
      <alignment horizontal="center" vertical="center" wrapText="1" readingOrder="2"/>
    </xf>
    <xf numFmtId="0" fontId="4" fillId="0" borderId="0" xfId="0" applyFont="1" applyAlignment="1">
      <alignment horizontal="center" vertical="center" wrapText="1" readingOrder="2"/>
    </xf>
    <xf numFmtId="0" fontId="4" fillId="0" borderId="5" xfId="0" applyFont="1" applyBorder="1" applyAlignment="1">
      <alignment horizontal="center" vertical="center" wrapText="1" readingOrder="2"/>
    </xf>
    <xf numFmtId="0" fontId="4" fillId="0" borderId="6" xfId="0" applyFont="1" applyBorder="1" applyAlignment="1">
      <alignment horizontal="center" vertical="center" wrapText="1" readingOrder="2"/>
    </xf>
    <xf numFmtId="0" fontId="4" fillId="0" borderId="7" xfId="0" applyFont="1" applyBorder="1" applyAlignment="1">
      <alignment horizontal="center" vertical="center" wrapText="1" readingOrder="2"/>
    </xf>
    <xf numFmtId="0" fontId="4" fillId="0" borderId="8" xfId="0" applyFont="1" applyBorder="1" applyAlignment="1">
      <alignment horizontal="center" vertical="center" wrapText="1" readingOrder="2"/>
    </xf>
    <xf numFmtId="0" fontId="3" fillId="0" borderId="3" xfId="0" applyFont="1" applyBorder="1" applyAlignment="1">
      <alignment horizontal="center"/>
    </xf>
    <xf numFmtId="0" fontId="3" fillId="0" borderId="5" xfId="0" applyFont="1" applyBorder="1" applyAlignment="1">
      <alignment horizontal="center"/>
    </xf>
    <xf numFmtId="0" fontId="3" fillId="0" borderId="8" xfId="0" applyFont="1" applyBorder="1" applyAlignment="1">
      <alignment horizontal="center"/>
    </xf>
    <xf numFmtId="0" fontId="7" fillId="0" borderId="1" xfId="0" applyFont="1" applyBorder="1" applyAlignment="1">
      <alignment horizontal="right" vertical="center"/>
    </xf>
    <xf numFmtId="0" fontId="7" fillId="0" borderId="2" xfId="0" applyFont="1" applyBorder="1" applyAlignment="1">
      <alignment horizontal="right" vertical="center"/>
    </xf>
    <xf numFmtId="0" fontId="7" fillId="0" borderId="4" xfId="0" applyFont="1" applyBorder="1" applyAlignment="1">
      <alignment horizontal="right" vertical="center"/>
    </xf>
    <xf numFmtId="0" fontId="7" fillId="0" borderId="0" xfId="0" applyFont="1" applyAlignment="1">
      <alignment horizontal="right" vertical="center"/>
    </xf>
    <xf numFmtId="0" fontId="7" fillId="0" borderId="6" xfId="0" applyFont="1" applyBorder="1" applyAlignment="1">
      <alignment horizontal="right" vertical="center"/>
    </xf>
    <xf numFmtId="0" fontId="7" fillId="0" borderId="7" xfId="0" applyFont="1" applyBorder="1" applyAlignment="1">
      <alignment horizontal="right" vertical="center"/>
    </xf>
    <xf numFmtId="0" fontId="2" fillId="0" borderId="16" xfId="0" applyFont="1" applyBorder="1" applyAlignment="1">
      <alignment horizontal="left" vertical="center" indent="1"/>
    </xf>
    <xf numFmtId="0" fontId="16" fillId="0" borderId="2" xfId="0" applyFont="1" applyBorder="1" applyAlignment="1" applyProtection="1">
      <alignment horizontal="center" vertical="center" wrapText="1" readingOrder="2"/>
      <protection locked="0"/>
    </xf>
    <xf numFmtId="0" fontId="16" fillId="0" borderId="0" xfId="0" applyFont="1" applyAlignment="1" applyProtection="1">
      <alignment horizontal="center" vertical="center" wrapText="1" readingOrder="2"/>
      <protection locked="0"/>
    </xf>
    <xf numFmtId="0" fontId="16" fillId="0" borderId="7" xfId="0" applyFont="1" applyBorder="1" applyAlignment="1" applyProtection="1">
      <alignment horizontal="center" vertical="center" wrapText="1" readingOrder="2"/>
      <protection locked="0"/>
    </xf>
    <xf numFmtId="0" fontId="3" fillId="0" borderId="14" xfId="0" applyFont="1" applyBorder="1" applyAlignment="1">
      <alignment horizontal="left" vertical="center" wrapText="1" indent="1"/>
    </xf>
    <xf numFmtId="0" fontId="3" fillId="0" borderId="15" xfId="0" applyFont="1" applyBorder="1" applyAlignment="1">
      <alignment horizontal="left" vertical="center" wrapText="1" indent="1"/>
    </xf>
    <xf numFmtId="0" fontId="3" fillId="0" borderId="35" xfId="0" applyFont="1" applyBorder="1" applyAlignment="1">
      <alignment horizontal="left" vertical="center" wrapText="1" indent="1"/>
    </xf>
    <xf numFmtId="0" fontId="3" fillId="0" borderId="36" xfId="0" applyFont="1" applyBorder="1" applyAlignment="1">
      <alignment horizontal="left" vertical="center" wrapText="1" indent="1"/>
    </xf>
    <xf numFmtId="0" fontId="3" fillId="0" borderId="16" xfId="0" applyFont="1" applyBorder="1" applyAlignment="1">
      <alignment horizontal="left" vertical="center" wrapText="1" indent="1"/>
    </xf>
    <xf numFmtId="0" fontId="3" fillId="0" borderId="17" xfId="0" applyFont="1" applyBorder="1" applyAlignment="1">
      <alignment horizontal="left" vertical="center" wrapText="1" indent="1"/>
    </xf>
    <xf numFmtId="0" fontId="3" fillId="0" borderId="18" xfId="0" applyFont="1" applyBorder="1" applyAlignment="1">
      <alignment horizontal="left" vertical="center" wrapText="1" indent="1"/>
    </xf>
    <xf numFmtId="0" fontId="2" fillId="0" borderId="39"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2" borderId="39" xfId="0" applyFont="1" applyFill="1" applyBorder="1" applyAlignment="1" applyProtection="1">
      <alignment horizontal="center" vertical="center" wrapText="1"/>
      <protection locked="0"/>
    </xf>
    <xf numFmtId="0" fontId="2" fillId="2" borderId="37" xfId="0" applyFont="1" applyFill="1" applyBorder="1" applyAlignment="1" applyProtection="1">
      <alignment horizontal="center" vertical="center" wrapText="1"/>
      <protection locked="0"/>
    </xf>
    <xf numFmtId="0" fontId="2" fillId="2" borderId="40" xfId="0" applyFont="1" applyFill="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0" fillId="0" borderId="0" xfId="0"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0" fillId="0" borderId="8" xfId="0" applyBorder="1" applyAlignment="1" applyProtection="1">
      <alignment horizontal="center"/>
      <protection locked="0"/>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9" fillId="0" borderId="12" xfId="0" applyFont="1" applyBorder="1" applyAlignment="1">
      <alignment horizontal="center" vertical="center" wrapText="1" readingOrder="2"/>
    </xf>
    <xf numFmtId="0" fontId="9" fillId="0" borderId="13" xfId="0" applyFont="1" applyBorder="1" applyAlignment="1">
      <alignment horizontal="center" vertical="center" wrapText="1" readingOrder="2"/>
    </xf>
    <xf numFmtId="0" fontId="9" fillId="0" borderId="30" xfId="0" applyFont="1" applyBorder="1" applyAlignment="1">
      <alignment horizontal="center" vertical="center" wrapText="1" readingOrder="2"/>
    </xf>
    <xf numFmtId="0" fontId="9" fillId="0" borderId="31" xfId="0" applyFont="1" applyBorder="1" applyAlignment="1">
      <alignment horizontal="center" vertical="center" wrapText="1" readingOrder="2"/>
    </xf>
    <xf numFmtId="0" fontId="10" fillId="0" borderId="13" xfId="0" applyFont="1" applyBorder="1" applyAlignment="1">
      <alignment horizontal="center" vertical="center"/>
    </xf>
    <xf numFmtId="0" fontId="10" fillId="0" borderId="29" xfId="0"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9" fillId="0" borderId="34"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0" xfId="0" applyFont="1" applyAlignment="1">
      <alignment horizontal="center" vertical="center" wrapText="1"/>
    </xf>
    <xf numFmtId="0" fontId="19" fillId="0" borderId="5" xfId="0" applyFont="1" applyBorder="1" applyAlignment="1">
      <alignment horizontal="center" vertical="center" wrapText="1"/>
    </xf>
  </cellXfs>
  <cellStyles count="1">
    <cellStyle name="Normal" xfId="0" builtinId="0"/>
  </cellStyles>
  <dxfs count="21">
    <dxf>
      <font>
        <b val="0"/>
        <i val="0"/>
        <strike val="0"/>
        <condense val="0"/>
        <extend val="0"/>
        <outline val="0"/>
        <shadow val="0"/>
        <u val="none"/>
        <vertAlign val="baseline"/>
        <sz val="9"/>
        <color auto="1"/>
        <name val="Times New Roman"/>
        <family val="1"/>
        <scheme val="none"/>
      </font>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numFmt numFmtId="164" formatCode="0.000"/>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auto="1"/>
        <name val="Times New Roman"/>
        <family val="1"/>
        <scheme val="none"/>
      </font>
      <alignment horizontal="center" vertical="center" textRotation="0" wrapText="1" indent="0" justifyLastLine="0" shrinkToFit="0" readingOrder="0"/>
      <protection locked="0" hidden="0"/>
    </dxf>
    <dxf>
      <font>
        <strike val="0"/>
        <outline val="0"/>
        <shadow val="0"/>
        <u val="none"/>
        <vertAlign val="baseline"/>
        <sz val="9"/>
        <color auto="1"/>
        <name val="Times New Roman"/>
        <family val="1"/>
        <scheme val="none"/>
      </font>
      <protection locked="0" hidden="0"/>
    </dxf>
    <dxf>
      <border diagonalUp="0" diagonalDown="0">
        <left style="double">
          <color auto="1"/>
        </left>
        <right/>
        <top style="double">
          <color auto="1"/>
        </top>
        <bottom style="double">
          <color auto="1"/>
        </bottom>
      </border>
    </dxf>
    <dxf>
      <font>
        <b val="0"/>
        <i val="0"/>
        <strike val="0"/>
        <condense val="0"/>
        <extend val="0"/>
        <outline val="0"/>
        <shadow val="0"/>
        <u val="none"/>
        <vertAlign val="baseline"/>
        <sz val="9"/>
        <color auto="1"/>
        <name val="Times New Roman"/>
        <family val="1"/>
        <scheme val="none"/>
      </font>
      <alignment horizontal="general" vertical="center" textRotation="0" wrapText="1" indent="0" justifyLastLine="0" shrinkToFit="0" readingOrder="0"/>
      <protection locked="0" hidden="0"/>
    </dxf>
    <dxf>
      <font>
        <b/>
        <i val="0"/>
        <strike val="0"/>
        <condense val="0"/>
        <extend val="0"/>
        <outline val="0"/>
        <shadow val="0"/>
        <u val="none"/>
        <vertAlign val="baseline"/>
        <sz val="10"/>
        <color auto="1"/>
        <name val="Times New Roman"/>
        <family val="1"/>
        <scheme val="none"/>
      </font>
      <alignment horizontal="center" vertical="center" textRotation="0" wrapText="1" indent="0" justifyLastLine="0" shrinkToFit="0" readingOrder="0"/>
      <protection locked="0" hidden="0"/>
    </dxf>
    <dxf>
      <fill>
        <patternFill>
          <bgColor theme="0"/>
        </patternFill>
      </fill>
    </dxf>
    <dxf>
      <fill>
        <patternFill>
          <bgColor theme="0" tint="-4.9989318521683403E-2"/>
        </patternFill>
      </fill>
    </dxf>
    <dxf>
      <font>
        <strike val="0"/>
        <u val="none"/>
      </font>
      <fill>
        <patternFill>
          <bgColor theme="0" tint="-0.14996795556505021"/>
        </patternFill>
      </fill>
    </dxf>
    <dxf>
      <fill>
        <patternFill>
          <bgColor theme="0"/>
        </patternFill>
      </fill>
      <border>
        <left style="double">
          <color auto="1"/>
        </left>
        <right style="double">
          <color auto="1"/>
        </right>
        <top style="double">
          <color auto="1"/>
        </top>
        <bottom style="double">
          <color auto="1"/>
        </bottom>
        <vertical style="double">
          <color auto="1"/>
        </vertical>
      </border>
    </dxf>
    <dxf>
      <border>
        <left style="double">
          <color auto="1"/>
        </left>
        <right style="double">
          <color auto="1"/>
        </right>
        <top style="double">
          <color auto="1"/>
        </top>
        <bottom style="double">
          <color auto="1"/>
        </bottom>
        <vertical style="thin">
          <color auto="1"/>
        </vertical>
        <horizontal style="thin">
          <color auto="1"/>
        </horizontal>
      </border>
    </dxf>
  </dxfs>
  <tableStyles count="1" defaultTableStyle="TableStyleMedium2" defaultPivotStyle="PivotStyleLight16">
    <tableStyle name="Mistras 1" pivot="0" count="5" xr9:uid="{2A372438-0141-4448-9707-82684065B37E}">
      <tableStyleElement type="wholeTable" dxfId="20"/>
      <tableStyleElement type="headerRow" dxfId="19"/>
      <tableStyleElement type="totalRow" dxfId="18"/>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393B02-F788-4E94-B0F2-A63CBA54E500}" name="Table2" displayName="Table2" ref="B5:G19" totalsRowCount="1" headerRowDxfId="15" dataDxfId="14" totalsRowDxfId="12" tableBorderDxfId="13">
  <autoFilter ref="B5:G18" xr:uid="{6B393B02-F788-4E94-B0F2-A63CBA54E500}"/>
  <sortState xmlns:xlrd2="http://schemas.microsoft.com/office/spreadsheetml/2017/richdata2" ref="B6:G18">
    <sortCondition ref="B5:B18"/>
  </sortState>
  <tableColumns count="6">
    <tableColumn id="1" xr3:uid="{B6E78E52-FFD1-4763-AE84-73411956D62F}" name="Scan ID" totalsRowLabel="Low Readings" dataDxfId="11" totalsRowDxfId="10"/>
    <tableColumn id="2" xr3:uid="{064AB11B-2D82-460E-AC4B-7497EF339F58}" name="Axial Start / Stop" dataDxfId="9" totalsRowDxfId="8"/>
    <tableColumn id="3" xr3:uid="{3BAF2ED1-1F83-47D8-8A67-63F09985DEA3}" name="Circ Start / Stop" dataDxfId="7" totalsRowDxfId="6"/>
    <tableColumn id="4" xr3:uid="{9A637175-9D68-4CF0-8C24-11142E71B599}" name="Minimum Thickness_x000a_(inches)" totalsRowFunction="min" dataDxfId="5" totalsRowDxfId="4"/>
    <tableColumn id="5" xr3:uid="{F391A0CB-6FCE-4CC5-A9DF-6AE95176040D}" name="Average Thickness (inches)" totalsRowFunction="average" dataDxfId="3" totalsRowDxfId="2"/>
    <tableColumn id="6" xr3:uid="{18635C8D-52E2-44CA-9732-2BEB05C30049}" name="Results" totalsRowFunction="custom" dataDxfId="1" totalsRowDxfId="0">
      <totalsRowFormula>CONCATENATE("The thinnest reading in all scan areas was ", Table2[[#Totals],[Minimum Thickness
(inches)]],"""", " and was located in scan ", INDEX(Table2[Scan ID], MATCH(MIN(Table2[Minimum Thickness
(inches)]), Table2[Minimum Thickness
(inches)], 0)),".")</totalsRowFormula>
    </tableColumn>
  </tableColumns>
  <tableStyleInfo name="Mistras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FAAA-63B2-459B-A426-DAEEDCCA83E3}">
  <sheetPr codeName="Sheet2">
    <tabColor theme="0"/>
  </sheetPr>
  <dimension ref="A1:AP50"/>
  <sheetViews>
    <sheetView tabSelected="1" view="pageLayout" zoomScale="160" zoomScaleNormal="100" zoomScalePageLayoutView="160" workbookViewId="0">
      <selection activeCell="B11" sqref="B11:AO16"/>
    </sheetView>
  </sheetViews>
  <sheetFormatPr defaultColWidth="9.140625" defaultRowHeight="15" x14ac:dyDescent="0.25"/>
  <cols>
    <col min="1" max="1" width="0.28515625" customWidth="1"/>
    <col min="2" max="2" width="6.42578125" style="21" customWidth="1"/>
    <col min="3" max="40" width="2.28515625" style="21" customWidth="1"/>
    <col min="41" max="41" width="6.42578125" style="21" customWidth="1"/>
    <col min="42" max="42" width="0.28515625" customWidth="1"/>
    <col min="43" max="43" width="5.85546875" style="21" customWidth="1"/>
    <col min="44" max="16384" width="9.140625" style="21"/>
  </cols>
  <sheetData>
    <row r="1" spans="2:41" ht="12.95" customHeight="1" thickBot="1" x14ac:dyDescent="0.3"/>
    <row r="2" spans="2:41" ht="15.75" customHeight="1" thickTop="1" x14ac:dyDescent="0.25">
      <c r="B2" s="54" t="s">
        <v>11</v>
      </c>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6"/>
    </row>
    <row r="3" spans="2:41" x14ac:dyDescent="0.25">
      <c r="B3" s="57"/>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9"/>
    </row>
    <row r="4" spans="2:41" ht="6" customHeight="1" thickBot="1" x14ac:dyDescent="0.3">
      <c r="B4" s="60"/>
      <c r="C4" s="61"/>
      <c r="D4" s="61"/>
      <c r="E4" s="61"/>
      <c r="F4" s="61"/>
      <c r="G4" s="61"/>
      <c r="H4" s="61"/>
      <c r="I4" s="61"/>
      <c r="J4" s="61"/>
      <c r="K4" s="61"/>
      <c r="L4" s="61"/>
      <c r="M4" s="61"/>
      <c r="N4" s="61"/>
      <c r="O4" s="61"/>
      <c r="P4" s="61"/>
      <c r="Q4" s="61"/>
      <c r="R4" s="61"/>
      <c r="S4" s="61"/>
      <c r="T4" s="61"/>
      <c r="U4" s="61"/>
      <c r="V4" s="58"/>
      <c r="W4" s="58"/>
      <c r="X4" s="58"/>
      <c r="Y4" s="58"/>
      <c r="Z4" s="58"/>
      <c r="AA4" s="61"/>
      <c r="AB4" s="61"/>
      <c r="AC4" s="61"/>
      <c r="AD4" s="61"/>
      <c r="AE4" s="61"/>
      <c r="AF4" s="61"/>
      <c r="AG4" s="61"/>
      <c r="AH4" s="61"/>
      <c r="AI4" s="61"/>
      <c r="AJ4" s="61"/>
      <c r="AK4" s="61"/>
      <c r="AL4" s="61"/>
      <c r="AM4" s="61"/>
      <c r="AN4" s="61"/>
      <c r="AO4" s="62"/>
    </row>
    <row r="5" spans="2:41" ht="15.75" customHeight="1" thickTop="1" x14ac:dyDescent="0.25">
      <c r="B5" s="65" t="s">
        <v>0</v>
      </c>
      <c r="C5" s="66"/>
      <c r="D5" s="66"/>
      <c r="E5" s="66"/>
      <c r="F5" s="66"/>
      <c r="G5" s="66"/>
      <c r="H5" s="66"/>
      <c r="I5" s="66"/>
      <c r="J5" s="66"/>
      <c r="K5" s="66"/>
      <c r="L5" s="64"/>
      <c r="M5" s="64"/>
      <c r="N5" s="64"/>
      <c r="O5" s="64"/>
      <c r="P5" s="64"/>
      <c r="Q5" s="64"/>
      <c r="R5" s="64"/>
      <c r="S5" s="64"/>
      <c r="T5" s="64"/>
      <c r="U5" s="64"/>
      <c r="V5" s="33" t="s">
        <v>1</v>
      </c>
      <c r="W5" s="34"/>
      <c r="X5" s="34"/>
      <c r="Y5" s="34"/>
      <c r="Z5" s="35"/>
      <c r="AA5" s="47"/>
      <c r="AB5" s="47"/>
      <c r="AC5" s="47"/>
      <c r="AD5" s="48"/>
      <c r="AE5" s="66" t="s">
        <v>35</v>
      </c>
      <c r="AF5" s="66"/>
      <c r="AG5" s="66"/>
      <c r="AH5" s="66"/>
      <c r="AI5" s="66"/>
      <c r="AJ5" s="69">
        <f ca="1">TODAY()</f>
        <v>46303</v>
      </c>
      <c r="AK5" s="69"/>
      <c r="AL5" s="69"/>
      <c r="AM5" s="69"/>
      <c r="AN5" s="69"/>
      <c r="AO5" s="70"/>
    </row>
    <row r="6" spans="2:41" ht="15" customHeight="1" x14ac:dyDescent="0.25">
      <c r="B6" s="67" t="s">
        <v>19</v>
      </c>
      <c r="C6" s="68"/>
      <c r="D6" s="68"/>
      <c r="E6" s="68"/>
      <c r="F6" s="68"/>
      <c r="G6" s="68"/>
      <c r="H6" s="68"/>
      <c r="I6" s="68"/>
      <c r="J6" s="68"/>
      <c r="K6" s="68"/>
      <c r="L6" s="63"/>
      <c r="M6" s="63"/>
      <c r="N6" s="63"/>
      <c r="O6" s="63"/>
      <c r="P6" s="63"/>
      <c r="Q6" s="63"/>
      <c r="R6" s="63"/>
      <c r="S6" s="63"/>
      <c r="T6" s="63"/>
      <c r="U6" s="63"/>
      <c r="V6" s="30" t="s">
        <v>13</v>
      </c>
      <c r="W6" s="31"/>
      <c r="X6" s="31"/>
      <c r="Y6" s="31"/>
      <c r="Z6" s="32"/>
      <c r="AA6" s="52"/>
      <c r="AB6" s="49"/>
      <c r="AC6" s="49"/>
      <c r="AD6" s="49"/>
      <c r="AE6" s="49"/>
      <c r="AF6" s="53" t="s">
        <v>47</v>
      </c>
      <c r="AG6" s="53"/>
      <c r="AH6" s="49"/>
      <c r="AI6" s="51"/>
      <c r="AJ6" s="30" t="s">
        <v>46</v>
      </c>
      <c r="AK6" s="31"/>
      <c r="AL6" s="31"/>
      <c r="AM6" s="31"/>
      <c r="AN6" s="32"/>
      <c r="AO6" s="23"/>
    </row>
    <row r="7" spans="2:41" ht="15" customHeight="1" x14ac:dyDescent="0.25">
      <c r="B7" s="67" t="s">
        <v>10</v>
      </c>
      <c r="C7" s="68"/>
      <c r="D7" s="68"/>
      <c r="E7" s="68"/>
      <c r="F7" s="68"/>
      <c r="G7" s="68"/>
      <c r="H7" s="68"/>
      <c r="I7" s="68"/>
      <c r="J7" s="68"/>
      <c r="K7" s="68"/>
      <c r="L7" s="63"/>
      <c r="M7" s="63"/>
      <c r="N7" s="63"/>
      <c r="O7" s="63"/>
      <c r="P7" s="63"/>
      <c r="Q7" s="63"/>
      <c r="R7" s="63"/>
      <c r="S7" s="63"/>
      <c r="T7" s="63"/>
      <c r="U7" s="63"/>
      <c r="V7" s="30" t="s">
        <v>12</v>
      </c>
      <c r="W7" s="31"/>
      <c r="X7" s="31"/>
      <c r="Y7" s="31"/>
      <c r="Z7" s="31"/>
      <c r="AA7" s="31"/>
      <c r="AB7" s="32"/>
      <c r="AC7" s="49"/>
      <c r="AD7" s="49"/>
      <c r="AE7" s="49"/>
      <c r="AF7" s="49"/>
      <c r="AG7" s="49"/>
      <c r="AH7" s="49"/>
      <c r="AI7" s="49"/>
      <c r="AJ7" s="49"/>
      <c r="AK7" s="49"/>
      <c r="AL7" s="49"/>
      <c r="AM7" s="49"/>
      <c r="AN7" s="49"/>
      <c r="AO7" s="50"/>
    </row>
    <row r="8" spans="2:41" ht="27" customHeight="1" thickBot="1" x14ac:dyDescent="0.3">
      <c r="B8" s="71" t="s">
        <v>49</v>
      </c>
      <c r="C8" s="72"/>
      <c r="D8" s="72"/>
      <c r="E8" s="72"/>
      <c r="F8" s="72"/>
      <c r="G8" s="72"/>
      <c r="H8" s="72"/>
      <c r="I8" s="73"/>
      <c r="J8" s="74"/>
      <c r="K8" s="74"/>
      <c r="L8" s="74"/>
      <c r="M8" s="74"/>
      <c r="N8" s="74"/>
      <c r="O8" s="74"/>
      <c r="P8" s="74"/>
      <c r="Q8" s="74"/>
      <c r="R8" s="74"/>
      <c r="S8" s="74"/>
      <c r="T8" s="74"/>
      <c r="U8" s="75"/>
      <c r="V8" s="45" t="s">
        <v>30</v>
      </c>
      <c r="W8" s="45"/>
      <c r="X8" s="45"/>
      <c r="Y8" s="45"/>
      <c r="Z8" s="45"/>
      <c r="AA8" s="45"/>
      <c r="AB8" s="45"/>
      <c r="AC8" s="73"/>
      <c r="AD8" s="74"/>
      <c r="AE8" s="74"/>
      <c r="AF8" s="74"/>
      <c r="AG8" s="74"/>
      <c r="AH8" s="74"/>
      <c r="AI8" s="74"/>
      <c r="AJ8" s="74"/>
      <c r="AK8" s="74"/>
      <c r="AL8" s="74"/>
      <c r="AM8" s="74"/>
      <c r="AN8" s="74"/>
      <c r="AO8" s="76"/>
    </row>
    <row r="9" spans="2:41" ht="6" customHeight="1" thickTop="1" x14ac:dyDescent="0.25"/>
    <row r="10" spans="2:41" ht="16.5" thickBot="1" x14ac:dyDescent="0.3">
      <c r="B10" s="46" t="s">
        <v>21</v>
      </c>
      <c r="C10" s="46"/>
      <c r="D10" s="46"/>
      <c r="E10" s="46"/>
      <c r="F10" s="46"/>
      <c r="G10" s="46"/>
      <c r="H10" s="46"/>
      <c r="I10" s="46"/>
      <c r="J10" s="46"/>
    </row>
    <row r="11" spans="2:41" ht="15.75" thickTop="1" x14ac:dyDescent="0.25">
      <c r="B11" s="36"/>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8"/>
    </row>
    <row r="12" spans="2:41" x14ac:dyDescent="0.25">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1"/>
    </row>
    <row r="13" spans="2:41" x14ac:dyDescent="0.25">
      <c r="B13" s="39"/>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1"/>
    </row>
    <row r="14" spans="2:41" x14ac:dyDescent="0.25">
      <c r="B14" s="39"/>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1"/>
    </row>
    <row r="15" spans="2:41" x14ac:dyDescent="0.25">
      <c r="B15" s="39"/>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1"/>
    </row>
    <row r="16" spans="2:41" ht="15.75" thickBot="1" x14ac:dyDescent="0.3">
      <c r="B16" s="42"/>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4"/>
    </row>
    <row r="17" spans="2:41" ht="17.25" thickTop="1" thickBot="1" x14ac:dyDescent="0.3">
      <c r="B17" s="46" t="s">
        <v>22</v>
      </c>
      <c r="C17" s="46"/>
      <c r="D17" s="46"/>
      <c r="E17" s="46"/>
      <c r="F17" s="46"/>
      <c r="G17" s="46"/>
      <c r="H17" s="46"/>
      <c r="I17" s="46"/>
      <c r="J17" s="46"/>
      <c r="K17"/>
      <c r="L17"/>
      <c r="M17"/>
      <c r="N17"/>
      <c r="O17"/>
      <c r="P17"/>
      <c r="Q17"/>
      <c r="R17"/>
      <c r="S17"/>
      <c r="T17"/>
      <c r="U17"/>
      <c r="V17"/>
      <c r="W17"/>
      <c r="X17"/>
      <c r="Y17"/>
      <c r="Z17"/>
      <c r="AA17"/>
      <c r="AB17"/>
      <c r="AC17"/>
      <c r="AD17"/>
      <c r="AE17"/>
      <c r="AF17"/>
      <c r="AG17"/>
      <c r="AH17"/>
      <c r="AI17"/>
      <c r="AJ17"/>
      <c r="AK17"/>
      <c r="AL17"/>
      <c r="AM17"/>
      <c r="AN17"/>
      <c r="AO17"/>
    </row>
    <row r="18" spans="2:41" ht="15.75" thickTop="1" x14ac:dyDescent="0.25">
      <c r="B18" s="36"/>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8"/>
    </row>
    <row r="19" spans="2:41" x14ac:dyDescent="0.25">
      <c r="B19" s="39"/>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1"/>
    </row>
    <row r="20" spans="2:41" x14ac:dyDescent="0.25">
      <c r="B20" s="39"/>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1"/>
    </row>
    <row r="21" spans="2:41" x14ac:dyDescent="0.25">
      <c r="B21" s="39"/>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1"/>
    </row>
    <row r="22" spans="2:41" x14ac:dyDescent="0.25">
      <c r="B22" s="39"/>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1"/>
    </row>
    <row r="23" spans="2:41" x14ac:dyDescent="0.25">
      <c r="B23" s="39"/>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1"/>
    </row>
    <row r="24" spans="2:41" x14ac:dyDescent="0.25">
      <c r="B24" s="39"/>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1"/>
    </row>
    <row r="25" spans="2:41" x14ac:dyDescent="0.25">
      <c r="B25" s="39"/>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1"/>
    </row>
    <row r="26" spans="2:41" x14ac:dyDescent="0.25">
      <c r="B26" s="39"/>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1"/>
    </row>
    <row r="27" spans="2:41" x14ac:dyDescent="0.25">
      <c r="B27" s="39"/>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1"/>
    </row>
    <row r="28" spans="2:41" x14ac:dyDescent="0.25">
      <c r="B28" s="39"/>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1"/>
    </row>
    <row r="29" spans="2:41" x14ac:dyDescent="0.25">
      <c r="B29" s="39"/>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1"/>
    </row>
    <row r="30" spans="2:41" x14ac:dyDescent="0.25">
      <c r="B30" s="39"/>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1"/>
    </row>
    <row r="31" spans="2:41" x14ac:dyDescent="0.25">
      <c r="B31" s="39"/>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1"/>
    </row>
    <row r="32" spans="2:41" x14ac:dyDescent="0.25">
      <c r="B32" s="39"/>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1"/>
    </row>
    <row r="33" spans="2:41" x14ac:dyDescent="0.25">
      <c r="B33" s="39"/>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1"/>
    </row>
    <row r="34" spans="2:41" x14ac:dyDescent="0.25">
      <c r="B34" s="3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1"/>
    </row>
    <row r="35" spans="2:41" x14ac:dyDescent="0.25">
      <c r="B35" s="39"/>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1"/>
    </row>
    <row r="36" spans="2:41" x14ac:dyDescent="0.25">
      <c r="B36" s="39"/>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1"/>
    </row>
    <row r="37" spans="2:41" x14ac:dyDescent="0.25">
      <c r="B37" s="39"/>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1"/>
    </row>
    <row r="38" spans="2:41" x14ac:dyDescent="0.25">
      <c r="B38" s="39"/>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1"/>
    </row>
    <row r="39" spans="2:41" x14ac:dyDescent="0.25">
      <c r="B39" s="39"/>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1"/>
    </row>
    <row r="40" spans="2:41" x14ac:dyDescent="0.25">
      <c r="B40" s="39"/>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1"/>
    </row>
    <row r="41" spans="2:41" ht="15.75" thickBot="1" x14ac:dyDescent="0.3">
      <c r="B41" s="42"/>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c r="AL41" s="43"/>
      <c r="AM41" s="43"/>
      <c r="AN41" s="43"/>
      <c r="AO41" s="44"/>
    </row>
    <row r="42" spans="2:41" ht="17.25" thickTop="1" thickBot="1" x14ac:dyDescent="0.3">
      <c r="B42" s="46" t="s">
        <v>23</v>
      </c>
      <c r="C42" s="46"/>
      <c r="D42" s="46"/>
      <c r="E42" s="46"/>
      <c r="F42" s="46"/>
      <c r="G42" s="46"/>
      <c r="H42" s="46"/>
      <c r="I42" s="46"/>
      <c r="J42" s="46"/>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9"/>
    </row>
    <row r="43" spans="2:41" ht="15.75" thickTop="1" x14ac:dyDescent="0.25">
      <c r="B43" s="36"/>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8"/>
    </row>
    <row r="44" spans="2:41" x14ac:dyDescent="0.25">
      <c r="B44" s="39"/>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1"/>
    </row>
    <row r="45" spans="2:41" x14ac:dyDescent="0.25">
      <c r="B45" s="39"/>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1"/>
    </row>
    <row r="46" spans="2:41" x14ac:dyDescent="0.25">
      <c r="B46" s="39"/>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1"/>
    </row>
    <row r="47" spans="2:41" ht="12.2" customHeight="1" x14ac:dyDescent="0.25">
      <c r="B47" s="39"/>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1"/>
    </row>
    <row r="48" spans="2:41" ht="12.2" customHeight="1" thickBot="1" x14ac:dyDescent="0.3">
      <c r="B48" s="42"/>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4"/>
    </row>
    <row r="49" spans="2:41" ht="15.75" thickTop="1" x14ac:dyDescent="0.25">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row>
    <row r="50" spans="2:41" x14ac:dyDescent="0.25">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row>
  </sheetData>
  <sheetProtection sheet="1" objects="1" scenarios="1"/>
  <mergeCells count="28">
    <mergeCell ref="B2:AO4"/>
    <mergeCell ref="B17:J17"/>
    <mergeCell ref="L7:U7"/>
    <mergeCell ref="L5:U5"/>
    <mergeCell ref="L6:U6"/>
    <mergeCell ref="B5:K5"/>
    <mergeCell ref="B6:K6"/>
    <mergeCell ref="B7:K7"/>
    <mergeCell ref="B10:J10"/>
    <mergeCell ref="B11:AO16"/>
    <mergeCell ref="AE5:AI5"/>
    <mergeCell ref="AJ5:AO5"/>
    <mergeCell ref="B8:H8"/>
    <mergeCell ref="I8:U8"/>
    <mergeCell ref="AC8:AO8"/>
    <mergeCell ref="V7:AB7"/>
    <mergeCell ref="V6:Z6"/>
    <mergeCell ref="V5:Z5"/>
    <mergeCell ref="B43:AO48"/>
    <mergeCell ref="V8:AB8"/>
    <mergeCell ref="B42:J42"/>
    <mergeCell ref="B18:AO41"/>
    <mergeCell ref="AJ6:AN6"/>
    <mergeCell ref="AA5:AD5"/>
    <mergeCell ref="AC7:AO7"/>
    <mergeCell ref="AH6:AI6"/>
    <mergeCell ref="AA6:AE6"/>
    <mergeCell ref="AF6:AG6"/>
  </mergeCells>
  <dataValidations count="1">
    <dataValidation type="list" allowBlank="1" showInputMessage="1" sqref="AA6:AE6" xr:uid="{815EFB7B-C7D4-4002-BB16-07B65D14A11D}">
      <formula1>"100-UT-003, 100-UT-020, 100-UT-021, 100-UT-031"</formula1>
    </dataValidation>
  </dataValidations>
  <printOptions horizontalCentered="1"/>
  <pageMargins left="0.3" right="0.3" top="0.75" bottom="0.5" header="0.1" footer="0.3"/>
  <pageSetup orientation="portrait" horizontalDpi="1200" verticalDpi="1200" r:id="rId1"/>
  <headerFooter>
    <oddHeader xml:space="preserve">&amp;L&amp;G&amp;R&amp;G
</oddHeader>
    <oddFooter>&amp;L598-PAUTFORM-009 Rev. Original   9/19/2025&amp;R&amp;"Times New Roman,Italic"&amp;9Page 1</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CF09D-03C4-4591-8E0B-A1D1B029BF53}">
  <sheetPr codeName="Sheet3">
    <tabColor theme="0"/>
  </sheetPr>
  <dimension ref="B1:AP58"/>
  <sheetViews>
    <sheetView view="pageLayout" zoomScale="145" zoomScaleNormal="100" zoomScalePageLayoutView="145" workbookViewId="0">
      <selection activeCell="B10" sqref="B10:AO44"/>
    </sheetView>
  </sheetViews>
  <sheetFormatPr defaultColWidth="9.140625" defaultRowHeight="15" x14ac:dyDescent="0.25"/>
  <cols>
    <col min="1" max="1" width="0.28515625" style="2" customWidth="1"/>
    <col min="2" max="2" width="3.7109375" style="2" customWidth="1"/>
    <col min="3" max="40" width="2.42578125" style="2" customWidth="1"/>
    <col min="41" max="41" width="3.5703125" style="2" customWidth="1"/>
    <col min="42" max="42" width="0.28515625" customWidth="1"/>
    <col min="43" max="43" width="5.85546875" style="2" customWidth="1"/>
    <col min="44" max="16384" width="9.140625" style="2"/>
  </cols>
  <sheetData>
    <row r="1" spans="2:41" ht="12.95" customHeight="1" thickBot="1" x14ac:dyDescent="0.3"/>
    <row r="2" spans="2:41" ht="15.75" customHeight="1" thickTop="1" x14ac:dyDescent="0.25">
      <c r="B2" s="98" t="s">
        <v>9</v>
      </c>
      <c r="C2" s="99"/>
      <c r="D2" s="99"/>
      <c r="E2" s="99"/>
      <c r="F2" s="99"/>
      <c r="G2" s="99"/>
      <c r="H2" s="99"/>
      <c r="I2" s="99"/>
      <c r="J2" s="99"/>
      <c r="K2" s="99"/>
      <c r="L2" s="99"/>
      <c r="M2" s="99"/>
      <c r="N2" s="99"/>
      <c r="O2" s="99"/>
      <c r="P2" s="99"/>
      <c r="Q2" s="99"/>
      <c r="R2" s="99"/>
      <c r="S2" s="99"/>
      <c r="T2" s="99"/>
      <c r="U2" s="100"/>
      <c r="V2" s="110" t="s">
        <v>34</v>
      </c>
      <c r="W2" s="111"/>
      <c r="X2" s="111"/>
      <c r="Y2" s="111"/>
      <c r="Z2" s="111"/>
      <c r="AA2" s="111"/>
      <c r="AB2" s="111"/>
      <c r="AC2" s="111"/>
      <c r="AD2" s="111"/>
      <c r="AE2" s="111"/>
      <c r="AF2" s="111"/>
      <c r="AG2" s="117" t="s">
        <v>37</v>
      </c>
      <c r="AH2" s="117"/>
      <c r="AI2" s="117"/>
      <c r="AJ2" s="117"/>
      <c r="AK2" s="117"/>
      <c r="AL2" s="117"/>
      <c r="AM2" s="117"/>
      <c r="AN2" s="117"/>
      <c r="AO2" s="107"/>
    </row>
    <row r="3" spans="2:41" ht="12" customHeight="1" x14ac:dyDescent="0.25">
      <c r="B3" s="101"/>
      <c r="C3" s="102"/>
      <c r="D3" s="102"/>
      <c r="E3" s="102"/>
      <c r="F3" s="102"/>
      <c r="G3" s="102"/>
      <c r="H3" s="102"/>
      <c r="I3" s="102"/>
      <c r="J3" s="102"/>
      <c r="K3" s="102"/>
      <c r="L3" s="102"/>
      <c r="M3" s="102"/>
      <c r="N3" s="102"/>
      <c r="O3" s="102"/>
      <c r="P3" s="102"/>
      <c r="Q3" s="102"/>
      <c r="R3" s="102"/>
      <c r="S3" s="102"/>
      <c r="T3" s="102"/>
      <c r="U3" s="103"/>
      <c r="V3" s="112"/>
      <c r="W3" s="113"/>
      <c r="X3" s="113"/>
      <c r="Y3" s="113"/>
      <c r="Z3" s="113"/>
      <c r="AA3" s="113"/>
      <c r="AB3" s="113"/>
      <c r="AC3" s="113"/>
      <c r="AD3" s="113"/>
      <c r="AE3" s="113"/>
      <c r="AF3" s="113"/>
      <c r="AG3" s="118"/>
      <c r="AH3" s="118"/>
      <c r="AI3" s="118"/>
      <c r="AJ3" s="118"/>
      <c r="AK3" s="118"/>
      <c r="AL3" s="118"/>
      <c r="AM3" s="118"/>
      <c r="AN3" s="118"/>
      <c r="AO3" s="108"/>
    </row>
    <row r="4" spans="2:41" ht="5.25" customHeight="1" thickBot="1" x14ac:dyDescent="0.3">
      <c r="B4" s="104"/>
      <c r="C4" s="105"/>
      <c r="D4" s="105"/>
      <c r="E4" s="105"/>
      <c r="F4" s="105"/>
      <c r="G4" s="105"/>
      <c r="H4" s="105"/>
      <c r="I4" s="105"/>
      <c r="J4" s="105"/>
      <c r="K4" s="105"/>
      <c r="L4" s="105"/>
      <c r="M4" s="105"/>
      <c r="N4" s="105"/>
      <c r="O4" s="105"/>
      <c r="P4" s="105"/>
      <c r="Q4" s="105"/>
      <c r="R4" s="105"/>
      <c r="S4" s="105"/>
      <c r="T4" s="105"/>
      <c r="U4" s="106"/>
      <c r="V4" s="114"/>
      <c r="W4" s="115"/>
      <c r="X4" s="115"/>
      <c r="Y4" s="115"/>
      <c r="Z4" s="115"/>
      <c r="AA4" s="115"/>
      <c r="AB4" s="115"/>
      <c r="AC4" s="115"/>
      <c r="AD4" s="115"/>
      <c r="AE4" s="115"/>
      <c r="AF4" s="115"/>
      <c r="AG4" s="119"/>
      <c r="AH4" s="119"/>
      <c r="AI4" s="119"/>
      <c r="AJ4" s="119"/>
      <c r="AK4" s="119"/>
      <c r="AL4" s="119"/>
      <c r="AM4" s="119"/>
      <c r="AN4" s="119"/>
      <c r="AO4" s="109"/>
    </row>
    <row r="5" spans="2:41" ht="33" customHeight="1" thickTop="1" x14ac:dyDescent="0.25">
      <c r="B5" s="120" t="str">
        <f>VLOOKUP(AG2,Formulas!B1:C9,2,FALSE)</f>
        <v>Phased Array (PAUT) Angle Beam - PAUT angle beam is an advanced ultrasonic technique that utilizes a transducer which contains an array of elements which are pulsed at desired time delays to steer and focus the sound beam using constructive wave interference for multi-angle imaging. Sectoral scan imaging displays a range of angles (e.g. 40°-70°) which allows for excellent flaw detection and characterizing when compared to conventional shear wave.</v>
      </c>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2"/>
      <c r="AH5" s="122"/>
      <c r="AI5" s="122"/>
      <c r="AJ5" s="122"/>
      <c r="AK5" s="122"/>
      <c r="AL5" s="122"/>
      <c r="AM5" s="122"/>
      <c r="AN5" s="122"/>
      <c r="AO5" s="123"/>
    </row>
    <row r="6" spans="2:41" ht="30" customHeight="1" x14ac:dyDescent="0.25">
      <c r="B6" s="124"/>
      <c r="C6" s="125"/>
      <c r="D6" s="125"/>
      <c r="E6" s="125"/>
      <c r="F6" s="125"/>
      <c r="G6" s="125"/>
      <c r="H6" s="125"/>
      <c r="I6" s="125"/>
      <c r="J6" s="125"/>
      <c r="K6" s="125"/>
      <c r="L6" s="125"/>
      <c r="M6" s="125"/>
      <c r="N6" s="125"/>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6"/>
    </row>
    <row r="7" spans="2:41" ht="25.5" customHeight="1" x14ac:dyDescent="0.25">
      <c r="B7" s="67" t="s">
        <v>48</v>
      </c>
      <c r="C7" s="68"/>
      <c r="D7" s="68"/>
      <c r="E7" s="68"/>
      <c r="F7" s="68"/>
      <c r="G7" s="68"/>
      <c r="H7" s="68"/>
      <c r="I7" s="68"/>
      <c r="J7" s="52"/>
      <c r="K7" s="49"/>
      <c r="L7" s="49"/>
      <c r="M7" s="49"/>
      <c r="N7" s="49"/>
      <c r="O7" s="49"/>
      <c r="P7" s="51"/>
      <c r="Q7" s="88" t="s">
        <v>16</v>
      </c>
      <c r="R7" s="88"/>
      <c r="S7" s="88"/>
      <c r="T7" s="88"/>
      <c r="U7" s="88"/>
      <c r="V7" s="88"/>
      <c r="W7" s="88"/>
      <c r="X7" s="88"/>
      <c r="Y7" s="88"/>
      <c r="Z7" s="86"/>
      <c r="AA7" s="86"/>
      <c r="AB7" s="86"/>
      <c r="AC7" s="88" t="s">
        <v>15</v>
      </c>
      <c r="AD7" s="88"/>
      <c r="AE7" s="88"/>
      <c r="AF7" s="88"/>
      <c r="AG7" s="88"/>
      <c r="AH7" s="88"/>
      <c r="AI7" s="88"/>
      <c r="AJ7" s="86"/>
      <c r="AK7" s="86"/>
      <c r="AL7" s="92" t="s">
        <v>14</v>
      </c>
      <c r="AM7" s="92"/>
      <c r="AN7" s="86"/>
      <c r="AO7" s="87"/>
    </row>
    <row r="8" spans="2:41" ht="25.5" customHeight="1" x14ac:dyDescent="0.25">
      <c r="B8" s="116" t="s">
        <v>18</v>
      </c>
      <c r="C8" s="88"/>
      <c r="D8" s="88"/>
      <c r="E8" s="88"/>
      <c r="F8" s="88"/>
      <c r="G8" s="88"/>
      <c r="H8" s="88"/>
      <c r="I8" s="88"/>
      <c r="J8" s="86"/>
      <c r="K8" s="86"/>
      <c r="L8" s="86"/>
      <c r="M8" s="86"/>
      <c r="N8" s="86"/>
      <c r="O8" s="86"/>
      <c r="P8" s="86"/>
      <c r="Q8" s="88" t="s">
        <v>17</v>
      </c>
      <c r="R8" s="88"/>
      <c r="S8" s="88"/>
      <c r="T8" s="88"/>
      <c r="U8" s="88"/>
      <c r="V8" s="88"/>
      <c r="W8" s="88"/>
      <c r="X8" s="88"/>
      <c r="Y8" s="88"/>
      <c r="Z8" s="86"/>
      <c r="AA8" s="86"/>
      <c r="AB8" s="86"/>
      <c r="AC8" s="127" t="s">
        <v>33</v>
      </c>
      <c r="AD8" s="128"/>
      <c r="AE8" s="128"/>
      <c r="AF8" s="128"/>
      <c r="AG8" s="129"/>
      <c r="AH8" s="130"/>
      <c r="AI8" s="131"/>
      <c r="AJ8" s="131"/>
      <c r="AK8" s="131"/>
      <c r="AL8" s="131"/>
      <c r="AM8" s="131"/>
      <c r="AN8" s="131"/>
      <c r="AO8" s="132"/>
    </row>
    <row r="9" spans="2:41" ht="26.25" customHeight="1" thickBot="1" x14ac:dyDescent="0.3">
      <c r="B9" s="95" t="s">
        <v>36</v>
      </c>
      <c r="C9" s="96"/>
      <c r="D9" s="96"/>
      <c r="E9" s="96"/>
      <c r="F9" s="96"/>
      <c r="G9" s="96"/>
      <c r="H9" s="96"/>
      <c r="I9" s="96"/>
      <c r="J9" s="96"/>
      <c r="K9" s="97"/>
      <c r="L9" s="89"/>
      <c r="M9" s="90"/>
      <c r="N9" s="90"/>
      <c r="O9" s="90"/>
      <c r="P9" s="90"/>
      <c r="Q9" s="90"/>
      <c r="R9" s="90"/>
      <c r="S9" s="91"/>
      <c r="T9" s="45" t="s">
        <v>20</v>
      </c>
      <c r="U9" s="45"/>
      <c r="V9" s="45"/>
      <c r="W9" s="45"/>
      <c r="X9" s="45"/>
      <c r="Y9" s="45"/>
      <c r="Z9" s="45"/>
      <c r="AA9" s="45"/>
      <c r="AB9" s="93"/>
      <c r="AC9" s="93"/>
      <c r="AD9" s="93"/>
      <c r="AE9" s="93"/>
      <c r="AF9" s="93"/>
      <c r="AG9" s="93"/>
      <c r="AH9" s="93"/>
      <c r="AI9" s="93"/>
      <c r="AJ9" s="93"/>
      <c r="AK9" s="93"/>
      <c r="AL9" s="93"/>
      <c r="AM9" s="93"/>
      <c r="AN9" s="93"/>
      <c r="AO9" s="94"/>
    </row>
    <row r="10" spans="2:41" ht="15.75" customHeight="1" thickTop="1" x14ac:dyDescent="0.25">
      <c r="B10" s="77"/>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9"/>
    </row>
    <row r="11" spans="2:41" ht="15" customHeight="1" x14ac:dyDescent="0.25">
      <c r="B11" s="80"/>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2"/>
    </row>
    <row r="12" spans="2:41" ht="15" customHeight="1" x14ac:dyDescent="0.25">
      <c r="B12" s="80"/>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2"/>
    </row>
    <row r="13" spans="2:41" ht="15" customHeight="1" x14ac:dyDescent="0.25">
      <c r="B13" s="80"/>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2"/>
    </row>
    <row r="14" spans="2:41" ht="15" customHeight="1" x14ac:dyDescent="0.25">
      <c r="B14" s="80"/>
      <c r="C14" s="81"/>
      <c r="D14" s="81"/>
      <c r="E14" s="81"/>
      <c r="F14" s="81"/>
      <c r="G14" s="81"/>
      <c r="H14" s="81"/>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2"/>
    </row>
    <row r="15" spans="2:41" ht="15" customHeight="1" x14ac:dyDescent="0.25">
      <c r="B15" s="80"/>
      <c r="C15" s="81"/>
      <c r="D15" s="81"/>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2"/>
    </row>
    <row r="16" spans="2:41" ht="15" customHeight="1" x14ac:dyDescent="0.25">
      <c r="B16" s="80"/>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2"/>
    </row>
    <row r="17" spans="2:41" ht="15" customHeight="1" x14ac:dyDescent="0.25">
      <c r="B17" s="80"/>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2"/>
    </row>
    <row r="18" spans="2:41" ht="15" customHeight="1" x14ac:dyDescent="0.25">
      <c r="B18" s="80"/>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2"/>
    </row>
    <row r="19" spans="2:41" ht="15" customHeight="1" x14ac:dyDescent="0.25">
      <c r="B19" s="80"/>
      <c r="C19" s="81"/>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2"/>
    </row>
    <row r="20" spans="2:41" ht="15" customHeight="1" x14ac:dyDescent="0.25">
      <c r="B20" s="80"/>
      <c r="C20" s="81"/>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2"/>
    </row>
    <row r="21" spans="2:41" ht="15" customHeight="1" x14ac:dyDescent="0.25">
      <c r="B21" s="80"/>
      <c r="C21" s="81"/>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2"/>
    </row>
    <row r="22" spans="2:41" ht="15" customHeight="1" x14ac:dyDescent="0.25">
      <c r="B22" s="80"/>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2"/>
    </row>
    <row r="23" spans="2:41" ht="15" customHeight="1" x14ac:dyDescent="0.25">
      <c r="B23" s="80"/>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2"/>
    </row>
    <row r="24" spans="2:41" ht="15" customHeight="1" x14ac:dyDescent="0.25">
      <c r="B24" s="80"/>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2"/>
    </row>
    <row r="25" spans="2:41" ht="15" customHeight="1" x14ac:dyDescent="0.25">
      <c r="B25" s="80"/>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2"/>
    </row>
    <row r="26" spans="2:41" ht="15" customHeight="1" x14ac:dyDescent="0.25">
      <c r="B26" s="80"/>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2"/>
    </row>
    <row r="27" spans="2:41" ht="15" customHeight="1" x14ac:dyDescent="0.25">
      <c r="B27" s="80"/>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2"/>
    </row>
    <row r="28" spans="2:41" ht="15" customHeight="1" x14ac:dyDescent="0.25">
      <c r="B28" s="80"/>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2"/>
    </row>
    <row r="29" spans="2:41" ht="15" customHeight="1" x14ac:dyDescent="0.25">
      <c r="B29" s="80"/>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2"/>
    </row>
    <row r="30" spans="2:41" ht="15" customHeight="1" x14ac:dyDescent="0.25">
      <c r="B30" s="80"/>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2"/>
    </row>
    <row r="31" spans="2:41" ht="15" customHeight="1" x14ac:dyDescent="0.25">
      <c r="B31" s="80"/>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2"/>
    </row>
    <row r="32" spans="2:41" ht="15" customHeight="1" x14ac:dyDescent="0.25">
      <c r="B32" s="80"/>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2"/>
    </row>
    <row r="33" spans="2:41" ht="15" customHeight="1" x14ac:dyDescent="0.25">
      <c r="B33" s="80"/>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2"/>
    </row>
    <row r="34" spans="2:41" ht="15" customHeight="1" x14ac:dyDescent="0.25">
      <c r="B34" s="80"/>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2"/>
    </row>
    <row r="35" spans="2:41" ht="15" customHeight="1" x14ac:dyDescent="0.25">
      <c r="B35" s="80"/>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2"/>
    </row>
    <row r="36" spans="2:41" ht="15" customHeight="1" x14ac:dyDescent="0.25">
      <c r="B36" s="80"/>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2"/>
    </row>
    <row r="37" spans="2:41" ht="15" customHeight="1" x14ac:dyDescent="0.25">
      <c r="B37" s="80"/>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2"/>
    </row>
    <row r="38" spans="2:41" ht="15" customHeight="1" x14ac:dyDescent="0.25">
      <c r="B38" s="80"/>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2"/>
    </row>
    <row r="39" spans="2:41" ht="15" customHeight="1" x14ac:dyDescent="0.25">
      <c r="B39" s="80"/>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2"/>
    </row>
    <row r="40" spans="2:41" ht="15" customHeight="1" x14ac:dyDescent="0.25">
      <c r="B40" s="80"/>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2"/>
    </row>
    <row r="41" spans="2:41" ht="15" customHeight="1" x14ac:dyDescent="0.25">
      <c r="B41" s="80"/>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2"/>
    </row>
    <row r="42" spans="2:41" ht="15" customHeight="1" x14ac:dyDescent="0.25">
      <c r="B42" s="80"/>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2"/>
    </row>
    <row r="43" spans="2:41" ht="15" customHeight="1" x14ac:dyDescent="0.25">
      <c r="B43" s="80"/>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2"/>
    </row>
    <row r="44" spans="2:41" ht="15" customHeight="1" thickBot="1" x14ac:dyDescent="0.3">
      <c r="B44" s="83"/>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5"/>
    </row>
    <row r="45" spans="2:41" customFormat="1" ht="15" customHeight="1" thickTop="1" x14ac:dyDescent="0.25"/>
    <row r="46" spans="2:41" ht="1.5" customHeight="1" x14ac:dyDescent="0.25">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row>
    <row r="47" spans="2:41" ht="12.2" customHeight="1" x14ac:dyDescent="0.25">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row>
    <row r="48" spans="2:41" ht="12.2" customHeight="1" x14ac:dyDescent="0.25">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row>
    <row r="49" spans="2:41" ht="12.2" customHeight="1" x14ac:dyDescent="0.25">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row>
    <row r="50" spans="2:41" ht="12.2" customHeight="1" x14ac:dyDescent="0.25">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row>
    <row r="51" spans="2:41" ht="15" customHeight="1" x14ac:dyDescent="0.25">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row>
    <row r="52" spans="2:41" ht="15" customHeight="1" x14ac:dyDescent="0.25">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row>
    <row r="53" spans="2:41" x14ac:dyDescent="0.2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row>
    <row r="54" spans="2:41" x14ac:dyDescent="0.25">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row>
    <row r="55" spans="2:41" ht="14.25" customHeight="1" x14ac:dyDescent="0.2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row>
    <row r="56" spans="2:41" x14ac:dyDescent="0.25">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row>
    <row r="57" spans="2:41" x14ac:dyDescent="0.25">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row>
    <row r="58" spans="2:41" x14ac:dyDescent="0.25">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row>
  </sheetData>
  <sheetProtection insertHyperlinks="0" sort="0"/>
  <mergeCells count="24">
    <mergeCell ref="B2:U4"/>
    <mergeCell ref="AO2:AO4"/>
    <mergeCell ref="V2:AF4"/>
    <mergeCell ref="AJ7:AK7"/>
    <mergeCell ref="B8:I8"/>
    <mergeCell ref="Q8:Y8"/>
    <mergeCell ref="Q7:Y7"/>
    <mergeCell ref="B7:I7"/>
    <mergeCell ref="AG2:AN4"/>
    <mergeCell ref="B5:AO6"/>
    <mergeCell ref="AC8:AG8"/>
    <mergeCell ref="AH8:AO8"/>
    <mergeCell ref="B10:AO44"/>
    <mergeCell ref="AN7:AO7"/>
    <mergeCell ref="AC7:AI7"/>
    <mergeCell ref="Z7:AB7"/>
    <mergeCell ref="L9:S9"/>
    <mergeCell ref="J7:P7"/>
    <mergeCell ref="Z8:AB8"/>
    <mergeCell ref="J8:P8"/>
    <mergeCell ref="AL7:AM7"/>
    <mergeCell ref="T9:AA9"/>
    <mergeCell ref="AB9:AO9"/>
    <mergeCell ref="B9:K9"/>
  </mergeCells>
  <printOptions horizontalCentered="1"/>
  <pageMargins left="0.3" right="0.3" top="0.75" bottom="0.5" header="0.1" footer="0.3"/>
  <pageSetup orientation="portrait" horizontalDpi="1200" verticalDpi="1200" r:id="rId1"/>
  <headerFooter>
    <oddHeader>&amp;L&amp;G&amp;R&amp;G</oddHeader>
    <oddFooter>&amp;L&amp;D&amp;R&amp;"Times New Roman,Italic"&amp;9Page 2</oddFoot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92261D4-DD9F-4F8A-BF28-2DD445E8D7D6}">
          <x14:formula1>
            <xm:f>Formulas!$B$2:$B$10</xm:f>
          </x14:formula1>
          <xm:sqref>AG2:AN4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BFB5-671A-4B60-A86D-9CB4661DCDEF}">
  <sheetPr codeName="Sheet5">
    <tabColor theme="0"/>
  </sheetPr>
  <dimension ref="B1:AT55"/>
  <sheetViews>
    <sheetView view="pageLayout" zoomScaleNormal="100" workbookViewId="0">
      <selection activeCell="AD2" sqref="AC2:AD2"/>
    </sheetView>
  </sheetViews>
  <sheetFormatPr defaultColWidth="9.140625" defaultRowHeight="12" x14ac:dyDescent="0.2"/>
  <cols>
    <col min="1" max="1" width="0.28515625" style="2" customWidth="1"/>
    <col min="2" max="41" width="2.28515625" style="2" customWidth="1"/>
    <col min="42" max="42" width="0.28515625" style="2" customWidth="1"/>
    <col min="43" max="43" width="5.85546875" style="2" customWidth="1"/>
    <col min="44" max="45" width="9.140625" style="2"/>
    <col min="46" max="46" width="16.28515625" style="2" customWidth="1"/>
    <col min="47" max="47" width="0.28515625" style="2" customWidth="1"/>
    <col min="48" max="16384" width="9.140625" style="2"/>
  </cols>
  <sheetData>
    <row r="1" spans="2:46" ht="1.5" customHeight="1" thickBot="1" x14ac:dyDescent="0.25"/>
    <row r="2" spans="2:46" ht="15.75" customHeight="1" thickTop="1" x14ac:dyDescent="0.25">
      <c r="B2" s="98" t="s">
        <v>24</v>
      </c>
      <c r="C2" s="99"/>
      <c r="D2" s="99"/>
      <c r="E2" s="99"/>
      <c r="F2" s="99"/>
      <c r="G2" s="99"/>
      <c r="H2" s="99"/>
      <c r="I2" s="99"/>
      <c r="J2" s="99"/>
      <c r="K2" s="99"/>
      <c r="L2" s="99"/>
      <c r="M2" s="99"/>
      <c r="N2" s="142">
        <f>Summary!AC7</f>
        <v>0</v>
      </c>
      <c r="O2" s="143"/>
      <c r="P2" s="143"/>
      <c r="Q2" s="143"/>
      <c r="R2" s="143"/>
      <c r="S2" s="143"/>
      <c r="T2" s="143"/>
      <c r="U2" s="143"/>
      <c r="V2" s="143"/>
      <c r="W2" s="143"/>
      <c r="X2" s="143"/>
      <c r="Y2" s="1"/>
      <c r="Z2" s="1"/>
      <c r="AA2" s="1"/>
      <c r="AB2" s="1"/>
      <c r="AC2" s="1"/>
      <c r="AD2" s="1"/>
      <c r="AE2" s="1"/>
      <c r="AF2" s="1"/>
      <c r="AG2" s="1"/>
      <c r="AH2" s="1"/>
      <c r="AI2" s="1"/>
      <c r="AJ2" s="1"/>
      <c r="AK2" s="1"/>
      <c r="AL2" s="1"/>
      <c r="AM2" s="1"/>
      <c r="AN2" s="1"/>
      <c r="AO2" s="1"/>
    </row>
    <row r="3" spans="2:46" ht="12" customHeight="1" x14ac:dyDescent="0.25">
      <c r="B3" s="101"/>
      <c r="C3" s="102"/>
      <c r="D3" s="102"/>
      <c r="E3" s="102"/>
      <c r="F3" s="102"/>
      <c r="G3" s="102"/>
      <c r="H3" s="102"/>
      <c r="I3" s="102"/>
      <c r="J3" s="102"/>
      <c r="K3" s="102"/>
      <c r="L3" s="102"/>
      <c r="M3" s="102"/>
      <c r="N3" s="142"/>
      <c r="O3" s="143"/>
      <c r="P3" s="143"/>
      <c r="Q3" s="143"/>
      <c r="R3" s="143"/>
      <c r="S3" s="143"/>
      <c r="T3" s="143"/>
      <c r="U3" s="143"/>
      <c r="V3" s="143"/>
      <c r="W3" s="143"/>
      <c r="X3" s="143"/>
      <c r="Y3" s="1"/>
      <c r="Z3" s="1"/>
      <c r="AA3" s="1"/>
      <c r="AB3" s="1"/>
      <c r="AC3" s="1"/>
      <c r="AD3" s="1"/>
      <c r="AE3" s="1"/>
      <c r="AF3" s="1"/>
      <c r="AG3" s="1"/>
      <c r="AH3" s="1"/>
      <c r="AI3" s="1"/>
      <c r="AJ3" s="1"/>
      <c r="AK3" s="1"/>
      <c r="AL3" s="1"/>
      <c r="AM3" s="1"/>
      <c r="AN3" s="1"/>
      <c r="AO3" s="1"/>
    </row>
    <row r="4" spans="2:46" ht="5.25" customHeight="1" thickBot="1" x14ac:dyDescent="0.3">
      <c r="B4" s="101"/>
      <c r="C4" s="102"/>
      <c r="D4" s="102"/>
      <c r="E4" s="102"/>
      <c r="F4" s="102"/>
      <c r="G4" s="102"/>
      <c r="H4" s="102"/>
      <c r="I4" s="102"/>
      <c r="J4" s="102"/>
      <c r="K4" s="102"/>
      <c r="L4" s="102"/>
      <c r="M4" s="102"/>
      <c r="N4" s="144"/>
      <c r="O4" s="145"/>
      <c r="P4" s="145"/>
      <c r="Q4" s="145"/>
      <c r="R4" s="145"/>
      <c r="S4" s="145"/>
      <c r="T4" s="145"/>
      <c r="U4" s="145"/>
      <c r="V4" s="145"/>
      <c r="W4" s="145"/>
      <c r="X4" s="145"/>
      <c r="Y4" s="1"/>
      <c r="Z4" s="1"/>
      <c r="AA4" s="1"/>
      <c r="AB4" s="1"/>
      <c r="AC4" s="1"/>
      <c r="AD4" s="1"/>
      <c r="AE4" s="1"/>
      <c r="AF4" s="1"/>
      <c r="AG4" s="1"/>
      <c r="AH4" s="1"/>
      <c r="AI4" s="1"/>
      <c r="AJ4" s="1"/>
      <c r="AK4" s="1"/>
      <c r="AL4" s="1"/>
      <c r="AM4" s="1"/>
      <c r="AN4" s="1"/>
      <c r="AO4" s="1"/>
    </row>
    <row r="5" spans="2:46" ht="15.75" customHeight="1" thickTop="1" x14ac:dyDescent="0.2">
      <c r="B5" s="13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5"/>
    </row>
    <row r="6" spans="2:46" ht="15" customHeight="1" x14ac:dyDescent="0.2">
      <c r="B6" s="136"/>
      <c r="C6" s="137"/>
      <c r="D6" s="137"/>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8"/>
    </row>
    <row r="7" spans="2:46" ht="15" customHeight="1" x14ac:dyDescent="0.2">
      <c r="B7" s="136"/>
      <c r="C7" s="137"/>
      <c r="D7" s="137"/>
      <c r="E7" s="137"/>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8"/>
    </row>
    <row r="8" spans="2:46" ht="15" customHeight="1" x14ac:dyDescent="0.2">
      <c r="B8" s="136"/>
      <c r="C8" s="137"/>
      <c r="D8" s="137"/>
      <c r="E8" s="137"/>
      <c r="F8" s="137"/>
      <c r="G8" s="137"/>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8"/>
    </row>
    <row r="9" spans="2:46" ht="15" customHeight="1" x14ac:dyDescent="0.2">
      <c r="B9" s="136"/>
      <c r="C9" s="137"/>
      <c r="D9" s="137"/>
      <c r="E9" s="137"/>
      <c r="F9" s="137"/>
      <c r="G9" s="137"/>
      <c r="H9" s="137"/>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7"/>
      <c r="AP9" s="137"/>
      <c r="AQ9" s="137"/>
      <c r="AR9" s="137"/>
      <c r="AS9" s="137"/>
      <c r="AT9" s="138"/>
    </row>
    <row r="10" spans="2:46" ht="15" customHeight="1" x14ac:dyDescent="0.2">
      <c r="B10" s="136"/>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8"/>
    </row>
    <row r="11" spans="2:46" ht="15" customHeight="1" x14ac:dyDescent="0.2">
      <c r="B11" s="136"/>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7"/>
      <c r="AP11" s="137"/>
      <c r="AQ11" s="137"/>
      <c r="AR11" s="137"/>
      <c r="AS11" s="137"/>
      <c r="AT11" s="138"/>
    </row>
    <row r="12" spans="2:46" ht="15" customHeight="1" x14ac:dyDescent="0.2">
      <c r="B12" s="136"/>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7"/>
      <c r="AP12" s="137"/>
      <c r="AQ12" s="137"/>
      <c r="AR12" s="137"/>
      <c r="AS12" s="137"/>
      <c r="AT12" s="138"/>
    </row>
    <row r="13" spans="2:46" ht="15" customHeight="1" x14ac:dyDescent="0.2">
      <c r="B13" s="136"/>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7"/>
      <c r="AP13" s="137"/>
      <c r="AQ13" s="137"/>
      <c r="AR13" s="137"/>
      <c r="AS13" s="137"/>
      <c r="AT13" s="138"/>
    </row>
    <row r="14" spans="2:46" ht="15" customHeight="1" x14ac:dyDescent="0.2">
      <c r="B14" s="136"/>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7"/>
      <c r="AP14" s="137"/>
      <c r="AQ14" s="137"/>
      <c r="AR14" s="137"/>
      <c r="AS14" s="137"/>
      <c r="AT14" s="138"/>
    </row>
    <row r="15" spans="2:46" ht="15" customHeight="1" x14ac:dyDescent="0.2">
      <c r="B15" s="136"/>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7"/>
      <c r="AP15" s="137"/>
      <c r="AQ15" s="137"/>
      <c r="AR15" s="137"/>
      <c r="AS15" s="137"/>
      <c r="AT15" s="138"/>
    </row>
    <row r="16" spans="2:46" ht="15" customHeight="1" x14ac:dyDescent="0.2">
      <c r="B16" s="136"/>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8"/>
    </row>
    <row r="17" spans="2:46" ht="15" customHeight="1" x14ac:dyDescent="0.2">
      <c r="B17" s="136"/>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8"/>
    </row>
    <row r="18" spans="2:46" ht="15" customHeight="1" x14ac:dyDescent="0.2">
      <c r="B18" s="136"/>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8"/>
    </row>
    <row r="19" spans="2:46" ht="15" customHeight="1" x14ac:dyDescent="0.2">
      <c r="B19" s="136"/>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8"/>
    </row>
    <row r="20" spans="2:46" ht="15" customHeight="1" x14ac:dyDescent="0.2">
      <c r="B20" s="136"/>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8"/>
    </row>
    <row r="21" spans="2:46" ht="15" customHeight="1" x14ac:dyDescent="0.2">
      <c r="B21" s="136"/>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7"/>
      <c r="AP21" s="137"/>
      <c r="AQ21" s="137"/>
      <c r="AR21" s="137"/>
      <c r="AS21" s="137"/>
      <c r="AT21" s="138"/>
    </row>
    <row r="22" spans="2:46" ht="15" customHeight="1" x14ac:dyDescent="0.2">
      <c r="B22" s="136"/>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8"/>
    </row>
    <row r="23" spans="2:46" ht="15" customHeight="1" x14ac:dyDescent="0.2">
      <c r="B23" s="136"/>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7"/>
      <c r="AP23" s="137"/>
      <c r="AQ23" s="137"/>
      <c r="AR23" s="137"/>
      <c r="AS23" s="137"/>
      <c r="AT23" s="138"/>
    </row>
    <row r="24" spans="2:46" ht="15" customHeight="1" x14ac:dyDescent="0.2">
      <c r="B24" s="136"/>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8"/>
    </row>
    <row r="25" spans="2:46" ht="15" customHeight="1" x14ac:dyDescent="0.2">
      <c r="B25" s="136"/>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7"/>
      <c r="AP25" s="137"/>
      <c r="AQ25" s="137"/>
      <c r="AR25" s="137"/>
      <c r="AS25" s="137"/>
      <c r="AT25" s="138"/>
    </row>
    <row r="26" spans="2:46" ht="15" customHeight="1" x14ac:dyDescent="0.2">
      <c r="B26" s="136"/>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8"/>
    </row>
    <row r="27" spans="2:46" ht="15" customHeight="1" x14ac:dyDescent="0.2">
      <c r="B27" s="136"/>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8"/>
    </row>
    <row r="28" spans="2:46" ht="15" customHeight="1" x14ac:dyDescent="0.2">
      <c r="B28" s="136"/>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8"/>
    </row>
    <row r="29" spans="2:46" ht="15" customHeight="1" x14ac:dyDescent="0.2">
      <c r="B29" s="136"/>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7"/>
      <c r="AP29" s="137"/>
      <c r="AQ29" s="137"/>
      <c r="AR29" s="137"/>
      <c r="AS29" s="137"/>
      <c r="AT29" s="138"/>
    </row>
    <row r="30" spans="2:46" ht="15" customHeight="1" x14ac:dyDescent="0.2">
      <c r="B30" s="136"/>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8"/>
    </row>
    <row r="31" spans="2:46" ht="15" customHeight="1" x14ac:dyDescent="0.2">
      <c r="B31" s="136"/>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8"/>
    </row>
    <row r="32" spans="2:46" ht="15" customHeight="1" x14ac:dyDescent="0.2">
      <c r="B32" s="136"/>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7"/>
      <c r="AP32" s="137"/>
      <c r="AQ32" s="137"/>
      <c r="AR32" s="137"/>
      <c r="AS32" s="137"/>
      <c r="AT32" s="138"/>
    </row>
    <row r="33" spans="2:46" ht="15" customHeight="1" x14ac:dyDescent="0.2">
      <c r="B33" s="136"/>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8"/>
    </row>
    <row r="34" spans="2:46" ht="15" customHeight="1" x14ac:dyDescent="0.2">
      <c r="B34" s="136"/>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7"/>
      <c r="AP34" s="137"/>
      <c r="AQ34" s="137"/>
      <c r="AR34" s="137"/>
      <c r="AS34" s="137"/>
      <c r="AT34" s="138"/>
    </row>
    <row r="35" spans="2:46" ht="15" customHeight="1" x14ac:dyDescent="0.2">
      <c r="B35" s="136"/>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137"/>
      <c r="AR35" s="137"/>
      <c r="AS35" s="137"/>
      <c r="AT35" s="138"/>
    </row>
    <row r="36" spans="2:46" ht="15" customHeight="1" x14ac:dyDescent="0.2">
      <c r="B36" s="136"/>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8"/>
    </row>
    <row r="37" spans="2:46" ht="1.5" customHeight="1" x14ac:dyDescent="0.2">
      <c r="B37" s="136"/>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7"/>
      <c r="AP37" s="137"/>
      <c r="AQ37" s="137"/>
      <c r="AR37" s="137"/>
      <c r="AS37" s="137"/>
      <c r="AT37" s="138"/>
    </row>
    <row r="38" spans="2:46" ht="15" customHeight="1" thickBot="1" x14ac:dyDescent="0.25">
      <c r="B38" s="139"/>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1"/>
    </row>
    <row r="39" spans="2:46" ht="15" customHeight="1" thickTop="1" x14ac:dyDescent="0.25">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row>
    <row r="40" spans="2:46" ht="15" customHeight="1" x14ac:dyDescent="0.25">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row>
    <row r="41" spans="2:46" ht="15" customHeight="1" x14ac:dyDescent="0.25">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row>
    <row r="42" spans="2:46" ht="15" customHeight="1" x14ac:dyDescent="0.25">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row>
    <row r="43" spans="2:46" ht="15" customHeight="1" x14ac:dyDescent="0.25">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row>
    <row r="44" spans="2:46" ht="15" customHeight="1" x14ac:dyDescent="0.25">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row>
    <row r="45" spans="2:46" ht="15" customHeight="1" x14ac:dyDescent="0.2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row>
    <row r="46" spans="2:46" ht="15" customHeight="1" x14ac:dyDescent="0.25">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row>
    <row r="47" spans="2:46" ht="12.2" customHeight="1" x14ac:dyDescent="0.25">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row>
    <row r="48" spans="2:46" ht="12.2" customHeight="1" x14ac:dyDescent="0.25">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row>
    <row r="49" spans="2:41" ht="12.2" customHeight="1" x14ac:dyDescent="0.25">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row>
    <row r="50" spans="2:41" ht="1.5" customHeight="1" x14ac:dyDescent="0.25">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spans="2:41" ht="17.25" customHeight="1" x14ac:dyDescent="0.25">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spans="2:41" ht="15" x14ac:dyDescent="0.25">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2:41" ht="15" x14ac:dyDescent="0.25">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2:41" x14ac:dyDescent="0.2">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2:41" x14ac:dyDescent="0.2">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row>
  </sheetData>
  <sheetProtection sheet="1" scenarios="1"/>
  <mergeCells count="3">
    <mergeCell ref="B2:M4"/>
    <mergeCell ref="B5:AT38"/>
    <mergeCell ref="N2:X4"/>
  </mergeCells>
  <printOptions horizontalCentered="1"/>
  <pageMargins left="0.3" right="0.3" top="0.75" bottom="0.5" header="0.1" footer="0.3"/>
  <pageSetup orientation="landscape" horizontalDpi="1200" verticalDpi="1200" r:id="rId1"/>
  <headerFooter>
    <oddHeader>&amp;L&amp;G&amp;R&amp;G</oddHeader>
    <oddFooter>&amp;L&amp;D&amp;R&amp;"Times New Roman,Italic"&amp;9Page 3</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D2A6A-1A31-4B52-A601-9512F31A05A2}">
  <sheetPr codeName="Sheet1">
    <tabColor theme="0"/>
  </sheetPr>
  <dimension ref="B1:AT55"/>
  <sheetViews>
    <sheetView view="pageLayout" zoomScale="130" zoomScaleNormal="100" zoomScalePageLayoutView="130" workbookViewId="0">
      <selection activeCell="AD1" sqref="AD1"/>
    </sheetView>
  </sheetViews>
  <sheetFormatPr defaultColWidth="9.140625" defaultRowHeight="15" x14ac:dyDescent="0.25"/>
  <cols>
    <col min="1" max="1" width="0.28515625" style="2" customWidth="1"/>
    <col min="2" max="40" width="2.42578125" style="2" customWidth="1"/>
    <col min="41" max="41" width="5.7109375" style="2" customWidth="1"/>
    <col min="42" max="42" width="0.28515625" customWidth="1"/>
    <col min="43" max="43" width="5.85546875" style="2" customWidth="1"/>
    <col min="44" max="46" width="9.140625" style="2"/>
    <col min="47" max="47" width="0.28515625" style="2" customWidth="1"/>
    <col min="48" max="16384" width="9.140625" style="2"/>
  </cols>
  <sheetData>
    <row r="1" spans="2:46" ht="12.95" customHeight="1" thickBot="1" x14ac:dyDescent="0.3"/>
    <row r="2" spans="2:46" ht="15.75" customHeight="1" thickTop="1" x14ac:dyDescent="0.25">
      <c r="B2" s="98" t="s">
        <v>24</v>
      </c>
      <c r="C2" s="99"/>
      <c r="D2" s="99"/>
      <c r="E2" s="99"/>
      <c r="F2" s="99"/>
      <c r="G2" s="99"/>
      <c r="H2" s="99"/>
      <c r="I2" s="99"/>
      <c r="J2" s="99"/>
      <c r="K2" s="99"/>
      <c r="L2" s="99"/>
      <c r="M2" s="99"/>
      <c r="N2" s="146">
        <f>Summary!AC7</f>
        <v>0</v>
      </c>
      <c r="O2" s="147"/>
      <c r="P2" s="147"/>
      <c r="Q2" s="147"/>
      <c r="R2" s="147"/>
      <c r="S2" s="147"/>
      <c r="T2" s="147"/>
      <c r="U2" s="147"/>
      <c r="V2" s="147"/>
      <c r="W2" s="147"/>
      <c r="X2" s="148"/>
      <c r="Y2" s="1"/>
      <c r="Z2" s="1"/>
      <c r="AA2" s="1"/>
      <c r="AB2" s="1"/>
      <c r="AC2" s="1"/>
      <c r="AD2" s="1"/>
      <c r="AE2" s="1"/>
      <c r="AF2" s="1"/>
      <c r="AG2" s="1"/>
      <c r="AH2" s="1"/>
      <c r="AI2" s="1"/>
      <c r="AJ2" s="1"/>
      <c r="AK2" s="1"/>
      <c r="AL2" s="1"/>
      <c r="AM2" s="1"/>
      <c r="AN2" s="1"/>
      <c r="AO2" s="1"/>
    </row>
    <row r="3" spans="2:46" ht="12" customHeight="1" x14ac:dyDescent="0.25">
      <c r="B3" s="101"/>
      <c r="C3" s="102"/>
      <c r="D3" s="102"/>
      <c r="E3" s="102"/>
      <c r="F3" s="102"/>
      <c r="G3" s="102"/>
      <c r="H3" s="102"/>
      <c r="I3" s="102"/>
      <c r="J3" s="102"/>
      <c r="K3" s="102"/>
      <c r="L3" s="102"/>
      <c r="M3" s="102"/>
      <c r="N3" s="142"/>
      <c r="O3" s="143"/>
      <c r="P3" s="143"/>
      <c r="Q3" s="143"/>
      <c r="R3" s="143"/>
      <c r="S3" s="143"/>
      <c r="T3" s="143"/>
      <c r="U3" s="143"/>
      <c r="V3" s="143"/>
      <c r="W3" s="143"/>
      <c r="X3" s="149"/>
      <c r="Y3" s="1"/>
      <c r="Z3" s="1"/>
      <c r="AA3" s="1"/>
      <c r="AB3" s="1"/>
      <c r="AC3" s="1"/>
      <c r="AD3" s="1"/>
      <c r="AE3" s="1"/>
      <c r="AF3" s="1"/>
      <c r="AG3"/>
      <c r="AH3" s="1"/>
      <c r="AI3" s="1"/>
      <c r="AJ3" s="1"/>
      <c r="AK3" s="1"/>
      <c r="AL3" s="1"/>
      <c r="AM3" s="1"/>
      <c r="AN3" s="1"/>
      <c r="AO3" s="1"/>
    </row>
    <row r="4" spans="2:46" ht="5.25" customHeight="1" thickBot="1" x14ac:dyDescent="0.3">
      <c r="B4" s="101"/>
      <c r="C4" s="102"/>
      <c r="D4" s="102"/>
      <c r="E4" s="102"/>
      <c r="F4" s="102"/>
      <c r="G4" s="102"/>
      <c r="H4" s="102"/>
      <c r="I4" s="102"/>
      <c r="J4" s="102"/>
      <c r="K4" s="102"/>
      <c r="L4" s="102"/>
      <c r="M4" s="102"/>
      <c r="N4" s="144"/>
      <c r="O4" s="145"/>
      <c r="P4" s="145"/>
      <c r="Q4" s="145"/>
      <c r="R4" s="145"/>
      <c r="S4" s="145"/>
      <c r="T4" s="145"/>
      <c r="U4" s="145"/>
      <c r="V4" s="145"/>
      <c r="W4" s="145"/>
      <c r="X4" s="150"/>
      <c r="Y4" s="1"/>
      <c r="Z4" s="1"/>
      <c r="AA4" s="1"/>
      <c r="AB4" s="1"/>
      <c r="AC4" s="1"/>
      <c r="AD4" s="1"/>
      <c r="AE4" s="1"/>
      <c r="AF4" s="1"/>
      <c r="AG4" s="1"/>
      <c r="AH4" s="1"/>
      <c r="AI4" s="1"/>
      <c r="AJ4" s="1"/>
      <c r="AK4" s="1"/>
      <c r="AL4" s="1"/>
      <c r="AM4" s="1"/>
      <c r="AN4" s="1"/>
      <c r="AO4" s="1"/>
    </row>
    <row r="5" spans="2:46" ht="8.25" customHeight="1" thickTop="1" x14ac:dyDescent="0.25">
      <c r="B5" s="133"/>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5"/>
      <c r="AQ5"/>
      <c r="AR5"/>
      <c r="AS5"/>
      <c r="AT5"/>
    </row>
    <row r="6" spans="2:46" ht="15" customHeight="1" x14ac:dyDescent="0.25">
      <c r="B6" s="136"/>
      <c r="C6" s="137"/>
      <c r="D6" s="137"/>
      <c r="E6" s="137"/>
      <c r="F6" s="137"/>
      <c r="G6" s="137"/>
      <c r="H6" s="137"/>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8"/>
      <c r="AQ6"/>
      <c r="AR6"/>
      <c r="AS6"/>
      <c r="AT6"/>
    </row>
    <row r="7" spans="2:46" ht="15" customHeight="1" x14ac:dyDescent="0.25">
      <c r="B7" s="136"/>
      <c r="C7" s="137"/>
      <c r="D7" s="137"/>
      <c r="E7" s="137"/>
      <c r="F7" s="137"/>
      <c r="G7" s="137"/>
      <c r="H7" s="137"/>
      <c r="I7" s="137"/>
      <c r="J7" s="137"/>
      <c r="K7" s="137"/>
      <c r="L7" s="137"/>
      <c r="M7" s="137"/>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138"/>
      <c r="AQ7"/>
      <c r="AR7"/>
      <c r="AS7"/>
      <c r="AT7"/>
    </row>
    <row r="8" spans="2:46" ht="15" customHeight="1" x14ac:dyDescent="0.25">
      <c r="B8" s="136"/>
      <c r="C8" s="137"/>
      <c r="D8" s="137"/>
      <c r="E8" s="137"/>
      <c r="F8" s="137"/>
      <c r="G8" s="137"/>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c r="AL8" s="137"/>
      <c r="AM8" s="137"/>
      <c r="AN8" s="137"/>
      <c r="AO8" s="138"/>
      <c r="AQ8"/>
      <c r="AR8"/>
      <c r="AS8"/>
      <c r="AT8"/>
    </row>
    <row r="9" spans="2:46" ht="15" customHeight="1" x14ac:dyDescent="0.25">
      <c r="B9" s="136"/>
      <c r="C9" s="137"/>
      <c r="D9" s="137"/>
      <c r="E9" s="137"/>
      <c r="F9" s="137"/>
      <c r="G9" s="137"/>
      <c r="H9" s="137"/>
      <c r="I9" s="137"/>
      <c r="J9" s="137"/>
      <c r="K9" s="137"/>
      <c r="L9" s="137"/>
      <c r="M9" s="137"/>
      <c r="N9" s="137"/>
      <c r="O9" s="137"/>
      <c r="P9" s="137"/>
      <c r="Q9" s="137"/>
      <c r="R9" s="137"/>
      <c r="S9" s="137"/>
      <c r="T9" s="137"/>
      <c r="U9" s="137"/>
      <c r="V9" s="137"/>
      <c r="W9" s="137"/>
      <c r="X9" s="137"/>
      <c r="Y9" s="137"/>
      <c r="Z9" s="137"/>
      <c r="AA9" s="137"/>
      <c r="AB9" s="137"/>
      <c r="AC9" s="137"/>
      <c r="AD9" s="137"/>
      <c r="AE9" s="137"/>
      <c r="AF9" s="137"/>
      <c r="AG9" s="137"/>
      <c r="AH9" s="137"/>
      <c r="AI9" s="137"/>
      <c r="AJ9" s="137"/>
      <c r="AK9" s="137"/>
      <c r="AL9" s="137"/>
      <c r="AM9" s="137"/>
      <c r="AN9" s="137"/>
      <c r="AO9" s="138"/>
      <c r="AQ9"/>
      <c r="AR9"/>
      <c r="AS9"/>
      <c r="AT9"/>
    </row>
    <row r="10" spans="2:46" ht="15" customHeight="1" x14ac:dyDescent="0.25">
      <c r="B10" s="136"/>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c r="AM10" s="137"/>
      <c r="AN10" s="137"/>
      <c r="AO10" s="138"/>
      <c r="AQ10"/>
      <c r="AR10"/>
      <c r="AS10"/>
      <c r="AT10"/>
    </row>
    <row r="11" spans="2:46" ht="15" customHeight="1" x14ac:dyDescent="0.25">
      <c r="B11" s="136"/>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c r="AM11" s="137"/>
      <c r="AN11" s="137"/>
      <c r="AO11" s="138"/>
      <c r="AQ11"/>
      <c r="AR11"/>
      <c r="AS11"/>
      <c r="AT11"/>
    </row>
    <row r="12" spans="2:46" ht="15" customHeight="1" x14ac:dyDescent="0.25">
      <c r="B12" s="136"/>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c r="AM12" s="137"/>
      <c r="AN12" s="137"/>
      <c r="AO12" s="138"/>
      <c r="AQ12"/>
      <c r="AR12"/>
      <c r="AS12"/>
      <c r="AT12"/>
    </row>
    <row r="13" spans="2:46" ht="15" customHeight="1" x14ac:dyDescent="0.25">
      <c r="B13" s="136"/>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c r="AM13" s="137"/>
      <c r="AN13" s="137"/>
      <c r="AO13" s="138"/>
      <c r="AQ13"/>
      <c r="AR13"/>
      <c r="AS13"/>
      <c r="AT13"/>
    </row>
    <row r="14" spans="2:46" ht="15" customHeight="1" x14ac:dyDescent="0.25">
      <c r="B14" s="136"/>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c r="AM14" s="137"/>
      <c r="AN14" s="137"/>
      <c r="AO14" s="138"/>
      <c r="AQ14"/>
      <c r="AR14"/>
      <c r="AS14"/>
      <c r="AT14"/>
    </row>
    <row r="15" spans="2:46" ht="15" customHeight="1" x14ac:dyDescent="0.25">
      <c r="B15" s="136"/>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c r="AM15" s="137"/>
      <c r="AN15" s="137"/>
      <c r="AO15" s="138"/>
      <c r="AQ15"/>
      <c r="AR15"/>
      <c r="AS15"/>
      <c r="AT15"/>
    </row>
    <row r="16" spans="2:46" ht="15" customHeight="1" x14ac:dyDescent="0.25">
      <c r="B16" s="136"/>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8"/>
      <c r="AQ16"/>
      <c r="AR16"/>
      <c r="AS16"/>
      <c r="AT16"/>
    </row>
    <row r="17" spans="2:46" ht="15" customHeight="1" x14ac:dyDescent="0.25">
      <c r="B17" s="136"/>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8"/>
      <c r="AQ17"/>
      <c r="AR17"/>
      <c r="AS17"/>
      <c r="AT17"/>
    </row>
    <row r="18" spans="2:46" ht="15" customHeight="1" x14ac:dyDescent="0.25">
      <c r="B18" s="136"/>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8"/>
      <c r="AQ18"/>
      <c r="AR18"/>
      <c r="AS18"/>
      <c r="AT18"/>
    </row>
    <row r="19" spans="2:46" ht="15" customHeight="1" x14ac:dyDescent="0.25">
      <c r="B19" s="136"/>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8"/>
      <c r="AQ19"/>
      <c r="AR19"/>
      <c r="AS19"/>
      <c r="AT19"/>
    </row>
    <row r="20" spans="2:46" ht="15" customHeight="1" x14ac:dyDescent="0.25">
      <c r="B20" s="136"/>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8"/>
      <c r="AQ20"/>
      <c r="AR20"/>
      <c r="AS20"/>
      <c r="AT20"/>
    </row>
    <row r="21" spans="2:46" ht="15" customHeight="1" x14ac:dyDescent="0.25">
      <c r="B21" s="136"/>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c r="AM21" s="137"/>
      <c r="AN21" s="137"/>
      <c r="AO21" s="138"/>
      <c r="AQ21"/>
      <c r="AR21"/>
      <c r="AS21"/>
      <c r="AT21"/>
    </row>
    <row r="22" spans="2:46" ht="15" customHeight="1" x14ac:dyDescent="0.25">
      <c r="B22" s="136"/>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c r="AM22" s="137"/>
      <c r="AN22" s="137"/>
      <c r="AO22" s="138"/>
      <c r="AQ22"/>
      <c r="AR22"/>
      <c r="AS22"/>
      <c r="AT22"/>
    </row>
    <row r="23" spans="2:46" ht="15" customHeight="1" x14ac:dyDescent="0.25">
      <c r="B23" s="136"/>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c r="AM23" s="137"/>
      <c r="AN23" s="137"/>
      <c r="AO23" s="138"/>
      <c r="AQ23"/>
      <c r="AR23"/>
      <c r="AS23"/>
      <c r="AT23"/>
    </row>
    <row r="24" spans="2:46" ht="15" customHeight="1" x14ac:dyDescent="0.25">
      <c r="B24" s="136"/>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8"/>
      <c r="AQ24"/>
      <c r="AR24"/>
      <c r="AS24"/>
      <c r="AT24"/>
    </row>
    <row r="25" spans="2:46" ht="15" customHeight="1" x14ac:dyDescent="0.25">
      <c r="B25" s="136"/>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c r="AM25" s="137"/>
      <c r="AN25" s="137"/>
      <c r="AO25" s="138"/>
      <c r="AQ25"/>
      <c r="AR25"/>
      <c r="AS25"/>
      <c r="AT25"/>
    </row>
    <row r="26" spans="2:46" ht="15" customHeight="1" x14ac:dyDescent="0.25">
      <c r="B26" s="136"/>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c r="AM26" s="137"/>
      <c r="AN26" s="137"/>
      <c r="AO26" s="138"/>
      <c r="AQ26"/>
      <c r="AR26"/>
      <c r="AS26"/>
      <c r="AT26"/>
    </row>
    <row r="27" spans="2:46" ht="15" customHeight="1" x14ac:dyDescent="0.25">
      <c r="B27" s="136"/>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8"/>
      <c r="AQ27"/>
      <c r="AR27"/>
      <c r="AS27"/>
      <c r="AT27"/>
    </row>
    <row r="28" spans="2:46" ht="15" customHeight="1" x14ac:dyDescent="0.25">
      <c r="B28" s="136"/>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8"/>
      <c r="AQ28"/>
      <c r="AR28"/>
      <c r="AS28"/>
      <c r="AT28"/>
    </row>
    <row r="29" spans="2:46" ht="15" customHeight="1" x14ac:dyDescent="0.25">
      <c r="B29" s="136"/>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c r="AM29" s="137"/>
      <c r="AN29" s="137"/>
      <c r="AO29" s="138"/>
      <c r="AQ29"/>
      <c r="AR29"/>
      <c r="AS29"/>
      <c r="AT29"/>
    </row>
    <row r="30" spans="2:46" ht="15" customHeight="1" x14ac:dyDescent="0.25">
      <c r="B30" s="136"/>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8"/>
      <c r="AQ30"/>
      <c r="AR30"/>
      <c r="AS30"/>
      <c r="AT30"/>
    </row>
    <row r="31" spans="2:46" ht="15" customHeight="1" x14ac:dyDescent="0.25">
      <c r="B31" s="136"/>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8"/>
      <c r="AQ31"/>
      <c r="AR31"/>
      <c r="AS31"/>
      <c r="AT31"/>
    </row>
    <row r="32" spans="2:46" ht="15" customHeight="1" x14ac:dyDescent="0.25">
      <c r="B32" s="136"/>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137"/>
      <c r="AN32" s="137"/>
      <c r="AO32" s="138"/>
      <c r="AQ32"/>
      <c r="AR32"/>
      <c r="AS32"/>
      <c r="AT32"/>
    </row>
    <row r="33" spans="2:46" ht="15" customHeight="1" x14ac:dyDescent="0.25">
      <c r="B33" s="136"/>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8"/>
      <c r="AQ33"/>
      <c r="AR33"/>
      <c r="AS33"/>
      <c r="AT33"/>
    </row>
    <row r="34" spans="2:46" ht="15" customHeight="1" x14ac:dyDescent="0.25">
      <c r="B34" s="136"/>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c r="AM34" s="137"/>
      <c r="AN34" s="137"/>
      <c r="AO34" s="138"/>
      <c r="AQ34"/>
      <c r="AR34"/>
      <c r="AS34"/>
      <c r="AT34"/>
    </row>
    <row r="35" spans="2:46" ht="15" customHeight="1" x14ac:dyDescent="0.25">
      <c r="B35" s="136"/>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8"/>
      <c r="AQ35"/>
      <c r="AR35"/>
      <c r="AS35"/>
      <c r="AT35"/>
    </row>
    <row r="36" spans="2:46" ht="15" customHeight="1" x14ac:dyDescent="0.25">
      <c r="B36" s="136"/>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8"/>
      <c r="AQ36"/>
      <c r="AR36"/>
      <c r="AS36"/>
      <c r="AT36"/>
    </row>
    <row r="37" spans="2:46" ht="1.5" customHeight="1" x14ac:dyDescent="0.25">
      <c r="B37" s="136"/>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c r="AM37" s="137"/>
      <c r="AN37" s="137"/>
      <c r="AO37" s="138"/>
    </row>
    <row r="38" spans="2:46" ht="15" customHeight="1" x14ac:dyDescent="0.25">
      <c r="B38" s="136"/>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8"/>
    </row>
    <row r="39" spans="2:46" ht="15" customHeight="1" x14ac:dyDescent="0.25">
      <c r="B39" s="136"/>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8"/>
    </row>
    <row r="40" spans="2:46" ht="15" customHeight="1" x14ac:dyDescent="0.25">
      <c r="B40" s="136"/>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c r="AM40" s="137"/>
      <c r="AN40" s="137"/>
      <c r="AO40" s="138"/>
    </row>
    <row r="41" spans="2:46" ht="15" customHeight="1" x14ac:dyDescent="0.25">
      <c r="B41" s="136"/>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8"/>
    </row>
    <row r="42" spans="2:46" ht="15" customHeight="1" x14ac:dyDescent="0.25">
      <c r="B42" s="136"/>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8"/>
    </row>
    <row r="43" spans="2:46" ht="15" customHeight="1" x14ac:dyDescent="0.25">
      <c r="B43" s="136"/>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c r="AM43" s="137"/>
      <c r="AN43" s="137"/>
      <c r="AO43" s="138"/>
    </row>
    <row r="44" spans="2:46" ht="15" customHeight="1" x14ac:dyDescent="0.25">
      <c r="B44" s="136"/>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c r="AM44" s="137"/>
      <c r="AN44" s="137"/>
      <c r="AO44" s="138"/>
    </row>
    <row r="45" spans="2:46" ht="15" customHeight="1" x14ac:dyDescent="0.25">
      <c r="B45" s="136"/>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c r="AM45" s="137"/>
      <c r="AN45" s="137"/>
      <c r="AO45" s="138"/>
    </row>
    <row r="46" spans="2:46" ht="15" customHeight="1" x14ac:dyDescent="0.25">
      <c r="B46" s="136"/>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c r="AM46" s="137"/>
      <c r="AN46" s="137"/>
      <c r="AO46" s="138"/>
    </row>
    <row r="47" spans="2:46" ht="12.2" customHeight="1" x14ac:dyDescent="0.25">
      <c r="B47" s="136"/>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c r="AM47" s="137"/>
      <c r="AN47" s="137"/>
      <c r="AO47" s="138"/>
    </row>
    <row r="48" spans="2:46" ht="12.2" customHeight="1" x14ac:dyDescent="0.25">
      <c r="B48" s="136"/>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8"/>
    </row>
    <row r="49" spans="2:41" ht="12.2" customHeight="1" x14ac:dyDescent="0.25">
      <c r="B49" s="136"/>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c r="AM49" s="137"/>
      <c r="AN49" s="137"/>
      <c r="AO49" s="138"/>
    </row>
    <row r="50" spans="2:41" ht="15" customHeight="1" thickBot="1" x14ac:dyDescent="0.3">
      <c r="B50" s="139"/>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1"/>
    </row>
    <row r="51" spans="2:41" ht="1.5" customHeight="1" thickTop="1" x14ac:dyDescent="0.25">
      <c r="B51" s="25"/>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7"/>
    </row>
    <row r="52" spans="2:41" customFormat="1" ht="15" customHeight="1" x14ac:dyDescent="0.25"/>
    <row r="53" spans="2:41" x14ac:dyDescent="0.25">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2:41" x14ac:dyDescent="0.25">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spans="2:41" x14ac:dyDescent="0.25">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row>
  </sheetData>
  <sheetProtection sheet="1" scenarios="1"/>
  <mergeCells count="3">
    <mergeCell ref="B2:M4"/>
    <mergeCell ref="B5:AO50"/>
    <mergeCell ref="N2:X4"/>
  </mergeCells>
  <printOptions horizontalCentered="1"/>
  <pageMargins left="0.3" right="0.3" top="0.75" bottom="0.5" header="0.1" footer="0.3"/>
  <pageSetup orientation="portrait" horizontalDpi="1200" verticalDpi="1200" r:id="rId1"/>
  <headerFooter>
    <oddHeader>&amp;L&amp;G&amp;R&amp;G</oddHeader>
    <oddFooter>&amp;L&amp;D&amp;R&amp;"Times New Roman,Italic"&amp;9Page 3</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53C6-1860-4961-86E1-FA087C388BE4}">
  <sheetPr codeName="Sheet4">
    <tabColor theme="0"/>
  </sheetPr>
  <dimension ref="B1:AP19"/>
  <sheetViews>
    <sheetView view="pageLayout" zoomScale="115" zoomScaleNormal="100" zoomScalePageLayoutView="115" workbookViewId="0">
      <selection activeCell="G3" sqref="G3"/>
    </sheetView>
  </sheetViews>
  <sheetFormatPr defaultColWidth="9.140625" defaultRowHeight="12" x14ac:dyDescent="0.2"/>
  <cols>
    <col min="1" max="1" width="0.28515625" style="15" customWidth="1"/>
    <col min="2" max="6" width="10.7109375" style="15" customWidth="1"/>
    <col min="7" max="7" width="46" style="15" customWidth="1"/>
    <col min="8" max="8" width="0.28515625" style="15" customWidth="1"/>
    <col min="9" max="41" width="2.28515625" style="15" customWidth="1"/>
    <col min="42" max="42" width="0.28515625" style="15" customWidth="1"/>
    <col min="43" max="43" width="5.85546875" style="15" customWidth="1"/>
    <col min="44" max="16384" width="9.140625" style="15"/>
  </cols>
  <sheetData>
    <row r="1" spans="2:42" ht="12.95" customHeight="1" thickBot="1" x14ac:dyDescent="0.25"/>
    <row r="2" spans="2:42" ht="15.75" customHeight="1" thickTop="1" x14ac:dyDescent="0.25">
      <c r="B2" s="151" t="s">
        <v>25</v>
      </c>
      <c r="C2" s="152"/>
      <c r="D2" s="152"/>
      <c r="E2" s="155">
        <f>Summary!AC7</f>
        <v>0</v>
      </c>
      <c r="F2" s="156"/>
      <c r="G2" s="16"/>
      <c r="H2" s="16"/>
      <c r="I2" s="16"/>
      <c r="J2" s="16"/>
      <c r="K2" s="16"/>
      <c r="L2" s="16"/>
      <c r="M2" s="16"/>
      <c r="O2" s="17"/>
      <c r="P2" s="17"/>
      <c r="Q2" s="17"/>
      <c r="R2" s="17"/>
      <c r="S2" s="17"/>
      <c r="T2" s="17"/>
      <c r="U2" s="17"/>
      <c r="V2" s="18"/>
      <c r="W2" s="18"/>
      <c r="X2" s="18"/>
      <c r="Y2" s="18"/>
      <c r="Z2" s="18"/>
      <c r="AA2" s="18"/>
      <c r="AB2" s="18"/>
      <c r="AC2" s="18"/>
      <c r="AD2" s="18"/>
      <c r="AE2" s="18"/>
      <c r="AF2" s="18"/>
      <c r="AG2" s="18"/>
      <c r="AH2" s="18"/>
      <c r="AI2" s="18"/>
      <c r="AJ2" s="18"/>
      <c r="AK2" s="18"/>
      <c r="AL2" s="18"/>
      <c r="AM2" s="18"/>
      <c r="AN2" s="18"/>
      <c r="AO2" s="18"/>
    </row>
    <row r="3" spans="2:42" ht="12" customHeight="1" x14ac:dyDescent="0.25">
      <c r="B3" s="153"/>
      <c r="C3" s="154"/>
      <c r="D3" s="154"/>
      <c r="E3" s="157"/>
      <c r="F3" s="158"/>
      <c r="G3" s="16"/>
      <c r="H3" s="16"/>
      <c r="I3" s="16"/>
      <c r="J3" s="16"/>
      <c r="K3" s="16"/>
      <c r="L3" s="16"/>
      <c r="M3" s="16"/>
      <c r="N3" s="17"/>
      <c r="O3" s="17"/>
      <c r="P3" s="17"/>
      <c r="Q3" s="17"/>
      <c r="R3" s="17"/>
      <c r="S3" s="17"/>
      <c r="T3" s="17"/>
      <c r="U3" s="17"/>
      <c r="V3" s="18"/>
      <c r="W3" s="18"/>
      <c r="X3" s="18"/>
      <c r="Y3" s="18"/>
      <c r="Z3" s="18"/>
      <c r="AA3" s="18"/>
      <c r="AB3" s="18"/>
      <c r="AC3" s="18"/>
      <c r="AD3" s="18"/>
      <c r="AE3" s="18"/>
      <c r="AF3" s="18"/>
      <c r="AG3" s="18"/>
      <c r="AH3" s="18"/>
      <c r="AI3" s="18"/>
      <c r="AJ3" s="18"/>
      <c r="AK3" s="18"/>
      <c r="AL3" s="18"/>
      <c r="AM3" s="18"/>
      <c r="AN3" s="18"/>
      <c r="AO3" s="18"/>
      <c r="AP3" s="18"/>
    </row>
    <row r="4" spans="2:42" ht="5.25" customHeight="1" x14ac:dyDescent="0.25">
      <c r="B4" s="153"/>
      <c r="C4" s="154"/>
      <c r="D4" s="154"/>
      <c r="E4" s="157"/>
      <c r="F4" s="158"/>
      <c r="G4" s="16"/>
      <c r="H4" s="16"/>
      <c r="I4" s="16"/>
      <c r="J4" s="16"/>
      <c r="K4" s="16"/>
      <c r="L4" s="16"/>
      <c r="M4" s="16"/>
      <c r="N4" s="17"/>
      <c r="O4" s="17"/>
      <c r="P4" s="17"/>
      <c r="Q4" s="17"/>
      <c r="R4" s="17"/>
      <c r="S4" s="17"/>
      <c r="T4" s="17"/>
      <c r="U4" s="17"/>
      <c r="V4" s="18"/>
      <c r="W4" s="18"/>
      <c r="X4" s="18"/>
      <c r="Y4" s="18"/>
      <c r="Z4" s="18"/>
      <c r="AA4" s="18"/>
      <c r="AB4" s="18"/>
      <c r="AC4" s="18"/>
      <c r="AD4" s="18"/>
      <c r="AE4" s="18"/>
      <c r="AF4" s="18"/>
      <c r="AG4" s="18"/>
      <c r="AH4" s="18"/>
      <c r="AI4" s="18"/>
      <c r="AJ4" s="18"/>
      <c r="AK4" s="18"/>
      <c r="AL4" s="18"/>
      <c r="AM4" s="18"/>
      <c r="AN4" s="18"/>
      <c r="AO4" s="18"/>
      <c r="AP4" s="18"/>
    </row>
    <row r="5" spans="2:42" ht="38.25" x14ac:dyDescent="0.25">
      <c r="B5" s="11" t="s">
        <v>26</v>
      </c>
      <c r="C5" s="11" t="s">
        <v>27</v>
      </c>
      <c r="D5" s="11" t="s">
        <v>28</v>
      </c>
      <c r="E5" s="11" t="s">
        <v>50</v>
      </c>
      <c r="F5" s="11" t="s">
        <v>51</v>
      </c>
      <c r="G5" s="11" t="s">
        <v>25</v>
      </c>
      <c r="H5" s="19"/>
      <c r="I5" s="19"/>
      <c r="J5" s="19"/>
      <c r="K5" s="19"/>
      <c r="M5" s="19"/>
      <c r="N5" s="19"/>
      <c r="O5" s="19"/>
      <c r="P5" s="19"/>
      <c r="R5" s="19"/>
      <c r="S5" s="19"/>
      <c r="T5" s="19"/>
      <c r="U5" s="19"/>
      <c r="W5" s="19"/>
      <c r="X5" s="19"/>
      <c r="Y5" s="19"/>
      <c r="Z5" s="19"/>
      <c r="AB5" s="19"/>
      <c r="AC5" s="19"/>
      <c r="AD5" s="19"/>
      <c r="AE5" s="19"/>
      <c r="AF5" s="19"/>
      <c r="AG5" s="19"/>
      <c r="AH5" s="19"/>
      <c r="AI5" s="19"/>
      <c r="AJ5" s="19"/>
      <c r="AK5" s="19"/>
      <c r="AL5" s="19"/>
      <c r="AM5" s="19"/>
      <c r="AN5" s="19"/>
      <c r="AO5" s="19"/>
      <c r="AP5" s="18"/>
    </row>
    <row r="6" spans="2:42" ht="15" x14ac:dyDescent="0.25">
      <c r="B6" s="12"/>
      <c r="C6" s="12"/>
      <c r="D6" s="12"/>
      <c r="E6" s="12"/>
      <c r="F6" s="12"/>
      <c r="G6" s="22"/>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8"/>
    </row>
    <row r="7" spans="2:42" ht="15" x14ac:dyDescent="0.25">
      <c r="B7" s="12"/>
      <c r="C7" s="12"/>
      <c r="D7" s="12"/>
      <c r="E7" s="12"/>
      <c r="F7" s="12"/>
      <c r="G7" s="22"/>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row>
    <row r="8" spans="2:42" ht="15" customHeight="1" x14ac:dyDescent="0.25">
      <c r="B8" s="12"/>
      <c r="C8" s="12"/>
      <c r="D8" s="12"/>
      <c r="E8" s="12"/>
      <c r="F8" s="12"/>
      <c r="G8" s="22"/>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2:42" ht="15" customHeight="1" x14ac:dyDescent="0.25">
      <c r="B9" s="12"/>
      <c r="C9" s="12"/>
      <c r="D9" s="12"/>
      <c r="E9" s="12"/>
      <c r="F9" s="12"/>
      <c r="G9" s="22"/>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row>
    <row r="10" spans="2:42" ht="15" customHeight="1" x14ac:dyDescent="0.25">
      <c r="B10" s="12"/>
      <c r="C10" s="12"/>
      <c r="D10" s="12"/>
      <c r="E10" s="12"/>
      <c r="F10" s="12"/>
      <c r="G10" s="22"/>
      <c r="H10" s="20"/>
      <c r="I10" s="20"/>
      <c r="J10" s="20"/>
      <c r="K10" s="20"/>
      <c r="L10" s="20"/>
      <c r="M10" s="20"/>
      <c r="N10" s="20"/>
      <c r="O10" s="20"/>
      <c r="P10" s="20"/>
      <c r="Q10" s="20"/>
      <c r="R10" s="20"/>
      <c r="S10" s="20"/>
      <c r="T10" s="20"/>
      <c r="U10" s="20"/>
      <c r="V10" s="18"/>
      <c r="W10" s="18"/>
      <c r="X10" s="18"/>
      <c r="Y10" s="18"/>
      <c r="Z10" s="18"/>
      <c r="AA10" s="18"/>
      <c r="AB10" s="18"/>
      <c r="AC10" s="18"/>
      <c r="AD10" s="18"/>
      <c r="AE10" s="18"/>
      <c r="AF10" s="18"/>
      <c r="AG10" s="18"/>
      <c r="AH10" s="18"/>
      <c r="AI10" s="18"/>
      <c r="AJ10" s="18"/>
      <c r="AK10" s="18"/>
      <c r="AL10" s="18"/>
      <c r="AM10" s="18"/>
      <c r="AN10" s="18"/>
      <c r="AO10" s="18"/>
    </row>
    <row r="11" spans="2:42" ht="15" customHeight="1" x14ac:dyDescent="0.2">
      <c r="B11" s="12"/>
      <c r="C11" s="12"/>
      <c r="D11" s="12"/>
      <c r="E11" s="12"/>
      <c r="F11" s="12"/>
      <c r="G11" s="22"/>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row>
    <row r="12" spans="2:42" ht="15" customHeight="1" x14ac:dyDescent="0.2">
      <c r="B12" s="12"/>
      <c r="C12" s="12"/>
      <c r="D12" s="12"/>
      <c r="E12" s="12"/>
      <c r="F12" s="12"/>
      <c r="G12" s="22"/>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2:42" ht="15" customHeight="1" x14ac:dyDescent="0.2">
      <c r="B13" s="12"/>
      <c r="C13" s="12"/>
      <c r="D13" s="12"/>
      <c r="E13" s="12"/>
      <c r="F13" s="12"/>
      <c r="G13" s="22"/>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row>
    <row r="14" spans="2:42" x14ac:dyDescent="0.2">
      <c r="B14" s="12"/>
      <c r="C14" s="12"/>
      <c r="D14" s="12"/>
      <c r="E14" s="12"/>
      <c r="F14" s="12"/>
      <c r="G14" s="22"/>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row>
    <row r="15" spans="2:42" x14ac:dyDescent="0.2">
      <c r="B15" s="12"/>
      <c r="C15" s="12"/>
      <c r="D15" s="12"/>
      <c r="E15" s="12"/>
      <c r="F15" s="12"/>
      <c r="G15" s="22"/>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row>
    <row r="16" spans="2:42" x14ac:dyDescent="0.2">
      <c r="B16" s="12"/>
      <c r="C16" s="12"/>
      <c r="D16" s="12"/>
      <c r="E16" s="12"/>
      <c r="F16" s="12"/>
      <c r="G16" s="22"/>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row>
    <row r="17" spans="2:7" x14ac:dyDescent="0.2">
      <c r="B17" s="12"/>
      <c r="C17" s="12"/>
      <c r="D17" s="12"/>
      <c r="E17" s="12"/>
      <c r="F17" s="12"/>
      <c r="G17" s="22"/>
    </row>
    <row r="18" spans="2:7" x14ac:dyDescent="0.2">
      <c r="B18" s="12"/>
      <c r="C18" s="12"/>
      <c r="D18" s="12"/>
      <c r="E18" s="12"/>
      <c r="F18" s="12"/>
      <c r="G18" s="22"/>
    </row>
    <row r="19" spans="2:7" x14ac:dyDescent="0.2">
      <c r="B19" s="12" t="s">
        <v>29</v>
      </c>
      <c r="C19" s="12"/>
      <c r="D19" s="12"/>
      <c r="E19" s="12">
        <f>SUBTOTAL(105,Table2[Minimum Thickness
(inches)])</f>
        <v>0</v>
      </c>
      <c r="F19" s="14" t="e">
        <f>SUBTOTAL(101,Table2[Average Thickness (inches)])</f>
        <v>#DIV/0!</v>
      </c>
      <c r="G19" s="13" t="e">
        <f>CONCATENATE("The thinnest reading in all scan areas was ", Table2[[#Totals],[Minimum Thickness
(inches)]],"""", " and was located in scan ", INDEX(Table2[Scan ID], MATCH(MIN(Table2[Minimum Thickness
(inches)]), Table2[Minimum Thickness
(inches)], 0)),".")</f>
        <v>#N/A</v>
      </c>
    </row>
  </sheetData>
  <sheetProtection sheet="1" formatCells="0" insertColumns="0" insertRows="0" deleteColumns="0" deleteRows="0" sort="0"/>
  <mergeCells count="2">
    <mergeCell ref="B2:D4"/>
    <mergeCell ref="E2:F4"/>
  </mergeCells>
  <phoneticPr fontId="13" type="noConversion"/>
  <printOptions horizontalCentered="1"/>
  <pageMargins left="0.3" right="0.3" top="0.75" bottom="0.5" header="0.1" footer="0.3"/>
  <pageSetup orientation="portrait" horizontalDpi="1200" verticalDpi="1200" r:id="rId1"/>
  <headerFooter>
    <oddHeader>&amp;L&amp;G&amp;R&amp;G</oddHeader>
    <oddFooter>&amp;L&amp;D</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C031-C6FF-4A59-ACAC-B10EF21A8892}">
  <sheetPr codeName="Sheet6">
    <tabColor theme="0"/>
  </sheetPr>
  <dimension ref="B2:AS46"/>
  <sheetViews>
    <sheetView view="pageLayout" zoomScale="130" zoomScaleNormal="100" zoomScaleSheetLayoutView="160" zoomScalePageLayoutView="130" workbookViewId="0">
      <selection activeCell="E1" sqref="E1"/>
    </sheetView>
  </sheetViews>
  <sheetFormatPr defaultColWidth="9.140625" defaultRowHeight="15" x14ac:dyDescent="0.25"/>
  <cols>
    <col min="1" max="1" width="0.28515625" style="1" customWidth="1"/>
    <col min="2" max="44" width="2.140625" style="1" customWidth="1"/>
    <col min="45" max="45" width="8" style="1" customWidth="1"/>
    <col min="46" max="46" width="0.28515625" style="1" customWidth="1"/>
    <col min="47" max="47" width="6.42578125" style="1" customWidth="1"/>
    <col min="48" max="48" width="2.140625" style="1" customWidth="1"/>
    <col min="49" max="16384" width="9.140625" style="1"/>
  </cols>
  <sheetData>
    <row r="2" spans="2:45" ht="15" customHeight="1" thickTop="1" x14ac:dyDescent="0.25">
      <c r="B2" s="159"/>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1"/>
    </row>
    <row r="3" spans="2:45" ht="15" customHeight="1" x14ac:dyDescent="0.25">
      <c r="B3" s="162"/>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4"/>
    </row>
    <row r="4" spans="2:45" ht="15" customHeight="1" x14ac:dyDescent="0.25">
      <c r="B4" s="162"/>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4"/>
    </row>
    <row r="5" spans="2:45" ht="15" customHeight="1" x14ac:dyDescent="0.25">
      <c r="B5" s="162"/>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c r="AM5" s="163"/>
      <c r="AN5" s="163"/>
      <c r="AO5" s="163"/>
      <c r="AP5" s="163"/>
      <c r="AQ5" s="163"/>
      <c r="AR5" s="163"/>
      <c r="AS5" s="164"/>
    </row>
    <row r="6" spans="2:45" ht="15" customHeight="1" x14ac:dyDescent="0.25">
      <c r="B6" s="162"/>
      <c r="C6" s="163"/>
      <c r="D6" s="163"/>
      <c r="E6" s="163"/>
      <c r="F6" s="163"/>
      <c r="G6" s="163"/>
      <c r="H6" s="163"/>
      <c r="I6" s="163"/>
      <c r="J6" s="163"/>
      <c r="K6" s="163"/>
      <c r="L6" s="163"/>
      <c r="M6" s="163"/>
      <c r="N6" s="163"/>
      <c r="O6" s="163"/>
      <c r="P6" s="163"/>
      <c r="Q6" s="163"/>
      <c r="R6" s="163"/>
      <c r="S6" s="163"/>
      <c r="T6" s="163"/>
      <c r="U6" s="163"/>
      <c r="V6" s="163"/>
      <c r="W6" s="163"/>
      <c r="X6" s="163"/>
      <c r="Y6" s="163"/>
      <c r="Z6" s="163"/>
      <c r="AA6" s="163"/>
      <c r="AB6" s="163"/>
      <c r="AC6" s="163"/>
      <c r="AD6" s="163"/>
      <c r="AE6" s="163"/>
      <c r="AF6" s="163"/>
      <c r="AG6" s="163"/>
      <c r="AH6" s="163"/>
      <c r="AI6" s="163"/>
      <c r="AJ6" s="163"/>
      <c r="AK6" s="163"/>
      <c r="AL6" s="163"/>
      <c r="AM6" s="163"/>
      <c r="AN6" s="163"/>
      <c r="AO6" s="163"/>
      <c r="AP6" s="163"/>
      <c r="AQ6" s="163"/>
      <c r="AR6" s="163"/>
      <c r="AS6" s="164"/>
    </row>
    <row r="7" spans="2:45" ht="15" customHeight="1" x14ac:dyDescent="0.25">
      <c r="B7" s="162"/>
      <c r="C7" s="163"/>
      <c r="D7" s="163"/>
      <c r="E7" s="163"/>
      <c r="F7" s="163"/>
      <c r="G7" s="163"/>
      <c r="H7" s="163"/>
      <c r="I7" s="163"/>
      <c r="J7" s="163"/>
      <c r="K7" s="163"/>
      <c r="L7" s="163"/>
      <c r="M7" s="163"/>
      <c r="N7" s="163"/>
      <c r="O7" s="163"/>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4"/>
    </row>
    <row r="8" spans="2:45" ht="15" customHeight="1" x14ac:dyDescent="0.25">
      <c r="B8" s="162"/>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4"/>
    </row>
    <row r="9" spans="2:45" ht="15" customHeight="1" x14ac:dyDescent="0.25">
      <c r="B9" s="162"/>
      <c r="C9" s="163"/>
      <c r="D9" s="163"/>
      <c r="E9" s="163"/>
      <c r="F9" s="163"/>
      <c r="G9" s="163"/>
      <c r="H9" s="163"/>
      <c r="I9" s="163"/>
      <c r="J9" s="163"/>
      <c r="K9" s="163"/>
      <c r="L9" s="163"/>
      <c r="M9" s="163"/>
      <c r="N9" s="163"/>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4"/>
    </row>
    <row r="10" spans="2:45" ht="15" customHeight="1" x14ac:dyDescent="0.25">
      <c r="B10" s="162"/>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4"/>
    </row>
    <row r="11" spans="2:45" ht="15" customHeight="1" x14ac:dyDescent="0.25">
      <c r="B11" s="162"/>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4"/>
    </row>
    <row r="12" spans="2:45" ht="15" customHeight="1" x14ac:dyDescent="0.25">
      <c r="B12" s="162"/>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4"/>
    </row>
    <row r="13" spans="2:45" ht="15" customHeight="1" x14ac:dyDescent="0.25">
      <c r="B13" s="162"/>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4"/>
    </row>
    <row r="14" spans="2:45" ht="15" customHeight="1" x14ac:dyDescent="0.25">
      <c r="B14" s="162"/>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4"/>
    </row>
    <row r="15" spans="2:45" ht="15" customHeight="1" x14ac:dyDescent="0.25">
      <c r="B15" s="162"/>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4"/>
    </row>
    <row r="16" spans="2:45" ht="15" customHeight="1" x14ac:dyDescent="0.25">
      <c r="B16" s="162"/>
      <c r="C16" s="163"/>
      <c r="D16" s="163"/>
      <c r="E16" s="163"/>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4"/>
    </row>
    <row r="17" spans="2:45" ht="15" customHeight="1" x14ac:dyDescent="0.25">
      <c r="B17" s="162"/>
      <c r="C17" s="163"/>
      <c r="D17" s="163"/>
      <c r="E17" s="163"/>
      <c r="F17" s="163"/>
      <c r="G17" s="163"/>
      <c r="H17" s="163"/>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4"/>
    </row>
    <row r="18" spans="2:45" ht="15" customHeight="1" thickBot="1" x14ac:dyDescent="0.3">
      <c r="B18" s="165"/>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7"/>
    </row>
    <row r="19" spans="2:45" ht="15" customHeight="1" thickTop="1" thickBot="1" x14ac:dyDescent="0.3">
      <c r="B19" s="177"/>
      <c r="C19" s="177"/>
      <c r="D19" s="177"/>
      <c r="E19" s="177"/>
      <c r="F19" s="177"/>
      <c r="G19" s="177"/>
      <c r="H19" s="177"/>
      <c r="I19" s="177"/>
      <c r="J19" s="177"/>
      <c r="K19" s="168"/>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70"/>
    </row>
    <row r="20" spans="2:45" ht="15" customHeight="1" thickTop="1" thickBot="1" x14ac:dyDescent="0.3">
      <c r="B20" s="177"/>
      <c r="C20" s="177"/>
      <c r="D20" s="177"/>
      <c r="E20" s="177"/>
      <c r="F20" s="177"/>
      <c r="G20" s="177"/>
      <c r="H20" s="177"/>
      <c r="I20" s="177"/>
      <c r="J20" s="177"/>
      <c r="K20" s="171"/>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3"/>
    </row>
    <row r="21" spans="2:45" ht="15" customHeight="1" thickTop="1" thickBot="1" x14ac:dyDescent="0.3">
      <c r="B21" s="177"/>
      <c r="C21" s="177"/>
      <c r="D21" s="177"/>
      <c r="E21" s="177"/>
      <c r="F21" s="177"/>
      <c r="G21" s="177"/>
      <c r="H21" s="177"/>
      <c r="I21" s="177"/>
      <c r="J21" s="177"/>
      <c r="K21" s="171"/>
      <c r="L21" s="172"/>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3"/>
    </row>
    <row r="22" spans="2:45" ht="15" customHeight="1" thickTop="1" thickBot="1" x14ac:dyDescent="0.3">
      <c r="B22" s="177"/>
      <c r="C22" s="177"/>
      <c r="D22" s="177"/>
      <c r="E22" s="177"/>
      <c r="F22" s="177"/>
      <c r="G22" s="177"/>
      <c r="H22" s="177"/>
      <c r="I22" s="177"/>
      <c r="J22" s="177"/>
      <c r="K22" s="174"/>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6"/>
    </row>
    <row r="23" spans="2:45" ht="15.75" thickTop="1" x14ac:dyDescent="0.25"/>
    <row r="24" spans="2:45" ht="15" customHeight="1" x14ac:dyDescent="0.25"/>
    <row r="25" spans="2:45" ht="15" customHeight="1" thickBot="1" x14ac:dyDescent="0.3"/>
    <row r="26" spans="2:45" ht="15" customHeight="1" thickTop="1" x14ac:dyDescent="0.25">
      <c r="B26" s="159"/>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1"/>
    </row>
    <row r="27" spans="2:45" ht="15" customHeight="1" x14ac:dyDescent="0.25">
      <c r="B27" s="162"/>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4"/>
    </row>
    <row r="28" spans="2:45" ht="15" customHeight="1" x14ac:dyDescent="0.25">
      <c r="B28" s="162"/>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4"/>
    </row>
    <row r="29" spans="2:45" ht="15" customHeight="1" x14ac:dyDescent="0.25">
      <c r="B29" s="162"/>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4"/>
    </row>
    <row r="30" spans="2:45" ht="15" customHeight="1" x14ac:dyDescent="0.25">
      <c r="B30" s="162"/>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4"/>
    </row>
    <row r="31" spans="2:45" ht="15" customHeight="1" x14ac:dyDescent="0.25">
      <c r="B31" s="162"/>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4"/>
    </row>
    <row r="32" spans="2:45" ht="15" customHeight="1" x14ac:dyDescent="0.25">
      <c r="B32" s="162"/>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4"/>
    </row>
    <row r="33" spans="2:45" ht="15" customHeight="1" x14ac:dyDescent="0.25">
      <c r="B33" s="162"/>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4"/>
    </row>
    <row r="34" spans="2:45" ht="15" customHeight="1" x14ac:dyDescent="0.25">
      <c r="B34" s="162"/>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4"/>
    </row>
    <row r="35" spans="2:45" ht="15" customHeight="1" x14ac:dyDescent="0.25">
      <c r="B35" s="162"/>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4"/>
    </row>
    <row r="36" spans="2:45" ht="15" customHeight="1" x14ac:dyDescent="0.25">
      <c r="B36" s="162"/>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4"/>
    </row>
    <row r="37" spans="2:45" ht="15" customHeight="1" x14ac:dyDescent="0.25">
      <c r="B37" s="162"/>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4"/>
    </row>
    <row r="38" spans="2:45" ht="15" customHeight="1" x14ac:dyDescent="0.25">
      <c r="B38" s="162"/>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4"/>
    </row>
    <row r="39" spans="2:45" ht="15" customHeight="1" x14ac:dyDescent="0.25">
      <c r="B39" s="162"/>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4"/>
    </row>
    <row r="40" spans="2:45" ht="15" customHeight="1" x14ac:dyDescent="0.25">
      <c r="B40" s="162"/>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4"/>
    </row>
    <row r="41" spans="2:45" ht="15" customHeight="1" x14ac:dyDescent="0.25">
      <c r="B41" s="162"/>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4"/>
    </row>
    <row r="42" spans="2:45" ht="15" customHeight="1" thickBot="1" x14ac:dyDescent="0.3">
      <c r="B42" s="165"/>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O42" s="166"/>
      <c r="AP42" s="166"/>
      <c r="AQ42" s="166"/>
      <c r="AR42" s="166"/>
      <c r="AS42" s="167"/>
    </row>
    <row r="43" spans="2:45" ht="15" customHeight="1" thickTop="1" x14ac:dyDescent="0.25">
      <c r="B43" s="178"/>
      <c r="C43" s="179"/>
      <c r="D43" s="179"/>
      <c r="E43" s="179"/>
      <c r="F43" s="179"/>
      <c r="G43" s="179"/>
      <c r="H43" s="179"/>
      <c r="I43" s="179"/>
      <c r="J43" s="180"/>
      <c r="K43" s="168"/>
      <c r="L43" s="169"/>
      <c r="M43" s="169"/>
      <c r="N43" s="169"/>
      <c r="O43" s="169"/>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70"/>
    </row>
    <row r="44" spans="2:45" ht="15" customHeight="1" thickBot="1" x14ac:dyDescent="0.3">
      <c r="B44" s="181"/>
      <c r="C44" s="182"/>
      <c r="D44" s="182"/>
      <c r="E44" s="182"/>
      <c r="F44" s="182"/>
      <c r="G44" s="182"/>
      <c r="H44" s="182"/>
      <c r="I44" s="182"/>
      <c r="J44" s="183"/>
      <c r="K44" s="171"/>
      <c r="L44" s="17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3"/>
    </row>
    <row r="45" spans="2:45" ht="15" customHeight="1" thickTop="1" thickBot="1" x14ac:dyDescent="0.3">
      <c r="B45" s="177"/>
      <c r="C45" s="177"/>
      <c r="D45" s="177"/>
      <c r="E45" s="177"/>
      <c r="F45" s="177"/>
      <c r="G45" s="177"/>
      <c r="H45" s="177"/>
      <c r="I45" s="177"/>
      <c r="J45" s="177"/>
      <c r="K45" s="171"/>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2"/>
      <c r="AI45" s="172"/>
      <c r="AJ45" s="172"/>
      <c r="AK45" s="172"/>
      <c r="AL45" s="172"/>
      <c r="AM45" s="172"/>
      <c r="AN45" s="172"/>
      <c r="AO45" s="172"/>
      <c r="AP45" s="172"/>
      <c r="AQ45" s="172"/>
      <c r="AR45" s="172"/>
      <c r="AS45" s="173"/>
    </row>
    <row r="46" spans="2:45" ht="15" customHeight="1" thickTop="1" thickBot="1" x14ac:dyDescent="0.3">
      <c r="B46" s="177"/>
      <c r="C46" s="177"/>
      <c r="D46" s="177"/>
      <c r="E46" s="177"/>
      <c r="F46" s="177"/>
      <c r="G46" s="177"/>
      <c r="H46" s="177"/>
      <c r="I46" s="177"/>
      <c r="J46" s="177"/>
      <c r="K46" s="174"/>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6"/>
    </row>
  </sheetData>
  <mergeCells count="6">
    <mergeCell ref="B2:AS18"/>
    <mergeCell ref="B19:J22"/>
    <mergeCell ref="K19:AS22"/>
    <mergeCell ref="B26:AS42"/>
    <mergeCell ref="B43:J46"/>
    <mergeCell ref="K43:AS46"/>
  </mergeCells>
  <printOptions horizontalCentered="1"/>
  <pageMargins left="0.3" right="0.3" top="0.75" bottom="0.5" header="0.1" footer="0.3"/>
  <pageSetup orientation="portrait" horizontalDpi="1200" verticalDpi="1200" r:id="rId1"/>
  <headerFooter>
    <oddHeader>&amp;L&amp;G&amp;R&amp;G</oddHeader>
    <oddFooter>&amp;L&amp;D</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0EAA-77C8-4F25-BB46-164CACC18EB6}">
  <sheetPr codeName="Sheet7"/>
  <dimension ref="B1:C9"/>
  <sheetViews>
    <sheetView zoomScale="130" zoomScaleNormal="130" workbookViewId="0">
      <selection activeCell="F7" sqref="F7"/>
    </sheetView>
  </sheetViews>
  <sheetFormatPr defaultRowHeight="15" x14ac:dyDescent="0.25"/>
  <cols>
    <col min="2" max="2" width="18.28515625" customWidth="1"/>
    <col min="3" max="3" width="10.5703125" customWidth="1"/>
  </cols>
  <sheetData>
    <row r="1" spans="2:3" x14ac:dyDescent="0.25">
      <c r="B1" s="4" t="s">
        <v>2</v>
      </c>
      <c r="C1" s="5" t="s">
        <v>3</v>
      </c>
    </row>
    <row r="2" spans="2:3" x14ac:dyDescent="0.25">
      <c r="B2" s="6" t="s">
        <v>37</v>
      </c>
      <c r="C2" s="24" t="s">
        <v>38</v>
      </c>
    </row>
    <row r="3" spans="2:3" x14ac:dyDescent="0.25">
      <c r="B3" s="6" t="s">
        <v>31</v>
      </c>
      <c r="C3" s="24" t="s">
        <v>39</v>
      </c>
    </row>
    <row r="4" spans="2:3" x14ac:dyDescent="0.25">
      <c r="B4" s="6" t="s">
        <v>7</v>
      </c>
      <c r="C4" s="7" t="s">
        <v>40</v>
      </c>
    </row>
    <row r="5" spans="2:3" x14ac:dyDescent="0.25">
      <c r="B5" s="6" t="s">
        <v>4</v>
      </c>
      <c r="C5" s="7" t="s">
        <v>41</v>
      </c>
    </row>
    <row r="6" spans="2:3" x14ac:dyDescent="0.25">
      <c r="B6" s="6" t="s">
        <v>8</v>
      </c>
      <c r="C6" s="7" t="s">
        <v>42</v>
      </c>
    </row>
    <row r="7" spans="2:3" x14ac:dyDescent="0.25">
      <c r="B7" s="6" t="s">
        <v>5</v>
      </c>
      <c r="C7" s="7" t="s">
        <v>43</v>
      </c>
    </row>
    <row r="8" spans="2:3" x14ac:dyDescent="0.25">
      <c r="B8" s="6" t="s">
        <v>32</v>
      </c>
      <c r="C8" s="7" t="s">
        <v>44</v>
      </c>
    </row>
    <row r="9" spans="2:3" ht="15.75" thickBot="1" x14ac:dyDescent="0.3">
      <c r="B9" s="8" t="s">
        <v>6</v>
      </c>
      <c r="C9" s="9" t="s">
        <v>45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Summary</vt:lpstr>
      <vt:lpstr>Setup Information</vt:lpstr>
      <vt:lpstr>Horizontal Drawing</vt:lpstr>
      <vt:lpstr>Vertical Drawing</vt:lpstr>
      <vt:lpstr>Thickness Table</vt:lpstr>
      <vt:lpstr>Images</vt:lpstr>
      <vt:lpstr>Formulas</vt:lpstr>
      <vt:lpstr>'Thickness Table'!Print_Titles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MistrasFHR-PB2</dc:creator>
  <cp:lastModifiedBy>Jennings, Lucas</cp:lastModifiedBy>
  <cp:lastPrinted>2025-09-04T20:23:33Z</cp:lastPrinted>
  <dcterms:created xsi:type="dcterms:W3CDTF">2015-06-05T18:17:20Z</dcterms:created>
  <dcterms:modified xsi:type="dcterms:W3CDTF">2026-10-08T21:43:50Z</dcterms:modified>
</cp:coreProperties>
</file>